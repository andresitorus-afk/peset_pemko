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IN 10\Downloads\Telegram Desktop\"/>
    </mc:Choice>
  </mc:AlternateContent>
  <bookViews>
    <workbookView xWindow="-120" yWindow="-120" windowWidth="20730" windowHeight="11160" activeTab="1"/>
  </bookViews>
  <sheets>
    <sheet name="Sheet1" sheetId="1" r:id="rId1"/>
    <sheet name="Sheet2" sheetId="2" r:id="rId2"/>
  </sheets>
  <definedNames>
    <definedName name="_xlnm._FilterDatabase" localSheetId="0" hidden="1">Sheet1!$A$4:$Z$4</definedName>
    <definedName name="_xlnm._FilterDatabase" localSheetId="1" hidden="1">Sheet2!$A$1:$H$227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O346" i="1" l="1"/>
  <c r="C7" i="1" l="1"/>
  <c r="D7" i="1"/>
  <c r="E7" i="1"/>
  <c r="C8" i="1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E25" i="1"/>
  <c r="C26" i="1"/>
  <c r="D26" i="1"/>
  <c r="E26" i="1"/>
  <c r="C27" i="1"/>
  <c r="D27" i="1"/>
  <c r="E27" i="1"/>
  <c r="C28" i="1"/>
  <c r="D28" i="1"/>
  <c r="E28" i="1"/>
  <c r="C29" i="1"/>
  <c r="D29" i="1"/>
  <c r="E29" i="1"/>
  <c r="C30" i="1"/>
  <c r="D30" i="1"/>
  <c r="E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C36" i="1"/>
  <c r="D36" i="1"/>
  <c r="E36" i="1"/>
  <c r="C37" i="1"/>
  <c r="D37" i="1"/>
  <c r="E37" i="1"/>
  <c r="C38" i="1"/>
  <c r="D38" i="1"/>
  <c r="E38" i="1"/>
  <c r="C39" i="1"/>
  <c r="D39" i="1"/>
  <c r="E39" i="1"/>
  <c r="C40" i="1"/>
  <c r="D40" i="1"/>
  <c r="E40" i="1"/>
  <c r="C41" i="1"/>
  <c r="D41" i="1"/>
  <c r="E41" i="1"/>
  <c r="C42" i="1"/>
  <c r="D42" i="1"/>
  <c r="E42" i="1"/>
  <c r="C43" i="1"/>
  <c r="D43" i="1"/>
  <c r="E43" i="1"/>
  <c r="C44" i="1"/>
  <c r="D44" i="1"/>
  <c r="E44" i="1"/>
  <c r="C45" i="1"/>
  <c r="D45" i="1"/>
  <c r="E45" i="1"/>
  <c r="C46" i="1"/>
  <c r="D46" i="1"/>
  <c r="E46" i="1"/>
  <c r="C47" i="1"/>
  <c r="D47" i="1"/>
  <c r="E47" i="1"/>
  <c r="C48" i="1"/>
  <c r="D48" i="1"/>
  <c r="E48" i="1"/>
  <c r="C49" i="1"/>
  <c r="D49" i="1"/>
  <c r="E49" i="1"/>
  <c r="C50" i="1"/>
  <c r="D50" i="1"/>
  <c r="E50" i="1"/>
  <c r="C51" i="1"/>
  <c r="D51" i="1"/>
  <c r="E51" i="1"/>
  <c r="C52" i="1"/>
  <c r="D52" i="1"/>
  <c r="E52" i="1"/>
  <c r="C53" i="1"/>
  <c r="D53" i="1"/>
  <c r="E53" i="1"/>
  <c r="C54" i="1"/>
  <c r="D54" i="1"/>
  <c r="E54" i="1"/>
  <c r="C55" i="1"/>
  <c r="D55" i="1"/>
  <c r="E55" i="1"/>
  <c r="C56" i="1"/>
  <c r="D56" i="1"/>
  <c r="E56" i="1"/>
  <c r="C57" i="1"/>
  <c r="D57" i="1"/>
  <c r="E57" i="1"/>
  <c r="C58" i="1"/>
  <c r="D58" i="1"/>
  <c r="E58" i="1"/>
  <c r="C59" i="1"/>
  <c r="D59" i="1"/>
  <c r="E59" i="1"/>
  <c r="C60" i="1"/>
  <c r="D60" i="1"/>
  <c r="E60" i="1"/>
  <c r="C61" i="1"/>
  <c r="D61" i="1"/>
  <c r="E61" i="1"/>
  <c r="C62" i="1"/>
  <c r="D62" i="1"/>
  <c r="E62" i="1"/>
  <c r="C63" i="1"/>
  <c r="D63" i="1"/>
  <c r="E63" i="1"/>
  <c r="C64" i="1"/>
  <c r="D64" i="1"/>
  <c r="E64" i="1"/>
  <c r="C65" i="1"/>
  <c r="D65" i="1"/>
  <c r="E65" i="1"/>
  <c r="C66" i="1"/>
  <c r="D66" i="1"/>
  <c r="E66" i="1"/>
  <c r="C67" i="1"/>
  <c r="D67" i="1"/>
  <c r="E67" i="1"/>
  <c r="C68" i="1"/>
  <c r="D68" i="1"/>
  <c r="E68" i="1"/>
  <c r="C69" i="1"/>
  <c r="D69" i="1"/>
  <c r="E69" i="1"/>
  <c r="C70" i="1"/>
  <c r="D70" i="1"/>
  <c r="E70" i="1"/>
  <c r="C71" i="1"/>
  <c r="D71" i="1"/>
  <c r="E71" i="1"/>
  <c r="C72" i="1"/>
  <c r="D72" i="1"/>
  <c r="E72" i="1"/>
  <c r="C73" i="1"/>
  <c r="D73" i="1"/>
  <c r="E73" i="1"/>
  <c r="C74" i="1"/>
  <c r="D74" i="1"/>
  <c r="E74" i="1"/>
  <c r="C75" i="1"/>
  <c r="D75" i="1"/>
  <c r="E75" i="1"/>
  <c r="C76" i="1"/>
  <c r="D76" i="1"/>
  <c r="E76" i="1"/>
  <c r="C77" i="1"/>
  <c r="D77" i="1"/>
  <c r="E77" i="1"/>
  <c r="C78" i="1"/>
  <c r="D78" i="1"/>
  <c r="E78" i="1"/>
  <c r="C79" i="1"/>
  <c r="D79" i="1"/>
  <c r="E79" i="1"/>
  <c r="C80" i="1"/>
  <c r="D80" i="1"/>
  <c r="E80" i="1"/>
  <c r="C81" i="1"/>
  <c r="D81" i="1"/>
  <c r="E81" i="1"/>
  <c r="C82" i="1"/>
  <c r="D82" i="1"/>
  <c r="E82" i="1"/>
  <c r="C83" i="1"/>
  <c r="D83" i="1"/>
  <c r="E83" i="1"/>
  <c r="C84" i="1"/>
  <c r="D84" i="1"/>
  <c r="E84" i="1"/>
  <c r="C85" i="1"/>
  <c r="D85" i="1"/>
  <c r="E85" i="1"/>
  <c r="C86" i="1"/>
  <c r="D86" i="1"/>
  <c r="E86" i="1"/>
  <c r="C87" i="1"/>
  <c r="D87" i="1"/>
  <c r="E87" i="1"/>
  <c r="C88" i="1"/>
  <c r="D88" i="1"/>
  <c r="E88" i="1"/>
  <c r="C89" i="1"/>
  <c r="D89" i="1"/>
  <c r="E89" i="1"/>
  <c r="C90" i="1"/>
  <c r="D90" i="1"/>
  <c r="E90" i="1"/>
  <c r="C91" i="1"/>
  <c r="D91" i="1"/>
  <c r="E91" i="1"/>
  <c r="C92" i="1"/>
  <c r="D92" i="1"/>
  <c r="E92" i="1"/>
  <c r="C93" i="1"/>
  <c r="D93" i="1"/>
  <c r="E93" i="1"/>
  <c r="C94" i="1"/>
  <c r="D94" i="1"/>
  <c r="E94" i="1"/>
  <c r="C95" i="1"/>
  <c r="D95" i="1"/>
  <c r="E95" i="1"/>
  <c r="C96" i="1"/>
  <c r="D96" i="1"/>
  <c r="E96" i="1"/>
  <c r="C97" i="1"/>
  <c r="D97" i="1"/>
  <c r="E97" i="1"/>
  <c r="C98" i="1"/>
  <c r="D98" i="1"/>
  <c r="E98" i="1"/>
  <c r="C99" i="1"/>
  <c r="D99" i="1"/>
  <c r="E99" i="1"/>
  <c r="C100" i="1"/>
  <c r="D100" i="1"/>
  <c r="E100" i="1"/>
  <c r="C101" i="1"/>
  <c r="D101" i="1"/>
  <c r="E101" i="1"/>
  <c r="C102" i="1"/>
  <c r="D102" i="1"/>
  <c r="E102" i="1"/>
  <c r="C103" i="1"/>
  <c r="D103" i="1"/>
  <c r="E103" i="1"/>
  <c r="C104" i="1"/>
  <c r="D104" i="1"/>
  <c r="E104" i="1"/>
  <c r="C105" i="1"/>
  <c r="D105" i="1"/>
  <c r="E105" i="1"/>
  <c r="C106" i="1"/>
  <c r="D106" i="1"/>
  <c r="E106" i="1"/>
  <c r="C107" i="1"/>
  <c r="D107" i="1"/>
  <c r="E107" i="1"/>
  <c r="C108" i="1"/>
  <c r="D108" i="1"/>
  <c r="E108" i="1"/>
  <c r="C109" i="1"/>
  <c r="D109" i="1"/>
  <c r="E109" i="1"/>
  <c r="C110" i="1"/>
  <c r="D110" i="1"/>
  <c r="E110" i="1"/>
  <c r="C111" i="1"/>
  <c r="D111" i="1"/>
  <c r="E111" i="1"/>
  <c r="C112" i="1"/>
  <c r="D112" i="1"/>
  <c r="E112" i="1"/>
  <c r="C113" i="1"/>
  <c r="D113" i="1"/>
  <c r="E113" i="1"/>
  <c r="C114" i="1"/>
  <c r="D114" i="1"/>
  <c r="E114" i="1"/>
  <c r="C115" i="1"/>
  <c r="D115" i="1"/>
  <c r="E115" i="1"/>
  <c r="C116" i="1"/>
  <c r="D116" i="1"/>
  <c r="E116" i="1"/>
  <c r="C117" i="1"/>
  <c r="D117" i="1"/>
  <c r="E117" i="1"/>
  <c r="C118" i="1"/>
  <c r="D118" i="1"/>
  <c r="E118" i="1"/>
  <c r="C119" i="1"/>
  <c r="D119" i="1"/>
  <c r="E119" i="1"/>
  <c r="C120" i="1"/>
  <c r="D120" i="1"/>
  <c r="E120" i="1"/>
  <c r="C121" i="1"/>
  <c r="D121" i="1"/>
  <c r="E121" i="1"/>
  <c r="C122" i="1"/>
  <c r="D122" i="1"/>
  <c r="E122" i="1"/>
  <c r="C123" i="1"/>
  <c r="D123" i="1"/>
  <c r="E123" i="1"/>
  <c r="C124" i="1"/>
  <c r="D124" i="1"/>
  <c r="E124" i="1"/>
  <c r="C125" i="1"/>
  <c r="D125" i="1"/>
  <c r="E125" i="1"/>
  <c r="C126" i="1"/>
  <c r="D126" i="1"/>
  <c r="E126" i="1"/>
  <c r="C127" i="1"/>
  <c r="D127" i="1"/>
  <c r="E127" i="1"/>
  <c r="C128" i="1"/>
  <c r="D128" i="1"/>
  <c r="E128" i="1"/>
  <c r="C129" i="1"/>
  <c r="D129" i="1"/>
  <c r="E129" i="1"/>
  <c r="C130" i="1"/>
  <c r="D130" i="1"/>
  <c r="E130" i="1"/>
  <c r="C131" i="1"/>
  <c r="D131" i="1"/>
  <c r="E131" i="1"/>
  <c r="C132" i="1"/>
  <c r="D132" i="1"/>
  <c r="E132" i="1"/>
  <c r="C133" i="1"/>
  <c r="D133" i="1"/>
  <c r="E133" i="1"/>
  <c r="C134" i="1"/>
  <c r="D134" i="1"/>
  <c r="E134" i="1"/>
  <c r="C135" i="1"/>
  <c r="D135" i="1"/>
  <c r="E135" i="1"/>
  <c r="C136" i="1"/>
  <c r="D136" i="1"/>
  <c r="E136" i="1"/>
  <c r="C137" i="1"/>
  <c r="D137" i="1"/>
  <c r="E137" i="1"/>
  <c r="C138" i="1"/>
  <c r="D138" i="1"/>
  <c r="E138" i="1"/>
  <c r="C139" i="1"/>
  <c r="D139" i="1"/>
  <c r="E139" i="1"/>
  <c r="C140" i="1"/>
  <c r="D140" i="1"/>
  <c r="E140" i="1"/>
  <c r="C141" i="1"/>
  <c r="D141" i="1"/>
  <c r="E141" i="1"/>
  <c r="C142" i="1"/>
  <c r="D142" i="1"/>
  <c r="E142" i="1"/>
  <c r="C143" i="1"/>
  <c r="D143" i="1"/>
  <c r="E143" i="1"/>
  <c r="C144" i="1"/>
  <c r="D144" i="1"/>
  <c r="E144" i="1"/>
  <c r="C145" i="1"/>
  <c r="D145" i="1"/>
  <c r="E145" i="1"/>
  <c r="C146" i="1"/>
  <c r="D146" i="1"/>
  <c r="E146" i="1"/>
  <c r="C147" i="1"/>
  <c r="D147" i="1"/>
  <c r="E147" i="1"/>
  <c r="C148" i="1"/>
  <c r="D148" i="1"/>
  <c r="E148" i="1"/>
  <c r="C149" i="1"/>
  <c r="D149" i="1"/>
  <c r="E149" i="1"/>
  <c r="C150" i="1"/>
  <c r="D150" i="1"/>
  <c r="E150" i="1"/>
  <c r="C151" i="1"/>
  <c r="D151" i="1"/>
  <c r="E151" i="1"/>
  <c r="C152" i="1"/>
  <c r="D152" i="1"/>
  <c r="E152" i="1"/>
  <c r="C153" i="1"/>
  <c r="D153" i="1"/>
  <c r="E153" i="1"/>
  <c r="C154" i="1"/>
  <c r="D154" i="1"/>
  <c r="E154" i="1"/>
  <c r="C155" i="1"/>
  <c r="D155" i="1"/>
  <c r="E155" i="1"/>
  <c r="C156" i="1"/>
  <c r="D156" i="1"/>
  <c r="E156" i="1"/>
  <c r="C157" i="1"/>
  <c r="D157" i="1"/>
  <c r="E157" i="1"/>
  <c r="C158" i="1"/>
  <c r="D158" i="1"/>
  <c r="E158" i="1"/>
  <c r="C159" i="1"/>
  <c r="D159" i="1"/>
  <c r="E159" i="1"/>
  <c r="C160" i="1"/>
  <c r="D160" i="1"/>
  <c r="E160" i="1"/>
  <c r="C161" i="1"/>
  <c r="D161" i="1"/>
  <c r="E161" i="1"/>
  <c r="C162" i="1"/>
  <c r="D162" i="1"/>
  <c r="E162" i="1"/>
  <c r="C163" i="1"/>
  <c r="D163" i="1"/>
  <c r="E163" i="1"/>
  <c r="C164" i="1"/>
  <c r="D164" i="1"/>
  <c r="E164" i="1"/>
  <c r="C165" i="1"/>
  <c r="D165" i="1"/>
  <c r="E165" i="1"/>
  <c r="C166" i="1"/>
  <c r="D166" i="1"/>
  <c r="E166" i="1"/>
  <c r="C167" i="1"/>
  <c r="D167" i="1"/>
  <c r="E167" i="1"/>
  <c r="C168" i="1"/>
  <c r="D168" i="1"/>
  <c r="E168" i="1"/>
  <c r="C169" i="1"/>
  <c r="D169" i="1"/>
  <c r="E169" i="1"/>
  <c r="C170" i="1"/>
  <c r="D170" i="1"/>
  <c r="E170" i="1"/>
  <c r="C171" i="1"/>
  <c r="D171" i="1"/>
  <c r="E171" i="1"/>
  <c r="C172" i="1"/>
  <c r="D172" i="1"/>
  <c r="E172" i="1"/>
  <c r="C173" i="1"/>
  <c r="D173" i="1"/>
  <c r="E173" i="1"/>
  <c r="C174" i="1"/>
  <c r="D174" i="1"/>
  <c r="E174" i="1"/>
  <c r="C175" i="1"/>
  <c r="D175" i="1"/>
  <c r="E175" i="1"/>
  <c r="C176" i="1"/>
  <c r="D176" i="1"/>
  <c r="E176" i="1"/>
  <c r="C177" i="1"/>
  <c r="D177" i="1"/>
  <c r="E177" i="1"/>
  <c r="C178" i="1"/>
  <c r="D178" i="1"/>
  <c r="E178" i="1"/>
  <c r="C179" i="1"/>
  <c r="D179" i="1"/>
  <c r="E179" i="1"/>
  <c r="C180" i="1"/>
  <c r="D180" i="1"/>
  <c r="E180" i="1"/>
  <c r="C181" i="1"/>
  <c r="D181" i="1"/>
  <c r="E181" i="1"/>
  <c r="C182" i="1"/>
  <c r="D182" i="1"/>
  <c r="E182" i="1"/>
  <c r="C183" i="1"/>
  <c r="D183" i="1"/>
  <c r="E183" i="1"/>
  <c r="C184" i="1"/>
  <c r="D184" i="1"/>
  <c r="E184" i="1"/>
  <c r="C185" i="1"/>
  <c r="D185" i="1"/>
  <c r="E185" i="1"/>
  <c r="C186" i="1"/>
  <c r="D186" i="1"/>
  <c r="E186" i="1"/>
  <c r="C187" i="1"/>
  <c r="D187" i="1"/>
  <c r="E187" i="1"/>
  <c r="C188" i="1"/>
  <c r="D188" i="1"/>
  <c r="E188" i="1"/>
  <c r="C189" i="1"/>
  <c r="D189" i="1"/>
  <c r="E189" i="1"/>
  <c r="C190" i="1"/>
  <c r="D190" i="1"/>
  <c r="E190" i="1"/>
  <c r="C191" i="1"/>
  <c r="D191" i="1"/>
  <c r="E191" i="1"/>
  <c r="C192" i="1"/>
  <c r="D192" i="1"/>
  <c r="E192" i="1"/>
  <c r="C193" i="1"/>
  <c r="D193" i="1"/>
  <c r="E193" i="1"/>
  <c r="C194" i="1"/>
  <c r="D194" i="1"/>
  <c r="E194" i="1"/>
  <c r="C195" i="1"/>
  <c r="D195" i="1"/>
  <c r="E195" i="1"/>
  <c r="C196" i="1"/>
  <c r="D196" i="1"/>
  <c r="E196" i="1"/>
  <c r="C197" i="1"/>
  <c r="D197" i="1"/>
  <c r="E197" i="1"/>
  <c r="C198" i="1"/>
  <c r="D198" i="1"/>
  <c r="E198" i="1"/>
  <c r="C199" i="1"/>
  <c r="D199" i="1"/>
  <c r="E199" i="1"/>
  <c r="C200" i="1"/>
  <c r="D200" i="1"/>
  <c r="E200" i="1"/>
  <c r="C201" i="1"/>
  <c r="D201" i="1"/>
  <c r="E201" i="1"/>
  <c r="C202" i="1"/>
  <c r="D202" i="1"/>
  <c r="E202" i="1"/>
  <c r="C203" i="1"/>
  <c r="D203" i="1"/>
  <c r="E203" i="1"/>
  <c r="C204" i="1"/>
  <c r="D204" i="1"/>
  <c r="E204" i="1"/>
  <c r="C205" i="1"/>
  <c r="D205" i="1"/>
  <c r="E205" i="1"/>
  <c r="C206" i="1"/>
  <c r="D206" i="1"/>
  <c r="E206" i="1"/>
  <c r="C207" i="1"/>
  <c r="D207" i="1"/>
  <c r="E207" i="1"/>
  <c r="C208" i="1"/>
  <c r="D208" i="1"/>
  <c r="E208" i="1"/>
  <c r="C209" i="1"/>
  <c r="D209" i="1"/>
  <c r="E209" i="1"/>
  <c r="C210" i="1"/>
  <c r="D210" i="1"/>
  <c r="E210" i="1"/>
  <c r="C211" i="1"/>
  <c r="D211" i="1"/>
  <c r="E211" i="1"/>
  <c r="C212" i="1"/>
  <c r="D212" i="1"/>
  <c r="E212" i="1"/>
  <c r="C213" i="1"/>
  <c r="D213" i="1"/>
  <c r="E213" i="1"/>
  <c r="C214" i="1"/>
  <c r="D214" i="1"/>
  <c r="E214" i="1"/>
  <c r="C215" i="1"/>
  <c r="D215" i="1"/>
  <c r="E215" i="1"/>
  <c r="C216" i="1"/>
  <c r="D216" i="1"/>
  <c r="E216" i="1"/>
  <c r="C217" i="1"/>
  <c r="D217" i="1"/>
  <c r="E217" i="1"/>
  <c r="C218" i="1"/>
  <c r="D218" i="1"/>
  <c r="E218" i="1"/>
  <c r="C219" i="1"/>
  <c r="D219" i="1"/>
  <c r="E219" i="1"/>
  <c r="C220" i="1"/>
  <c r="D220" i="1"/>
  <c r="E220" i="1"/>
  <c r="C221" i="1"/>
  <c r="D221" i="1"/>
  <c r="E221" i="1"/>
  <c r="C222" i="1"/>
  <c r="D222" i="1"/>
  <c r="E222" i="1"/>
  <c r="C223" i="1"/>
  <c r="D223" i="1"/>
  <c r="E223" i="1"/>
  <c r="C224" i="1"/>
  <c r="D224" i="1"/>
  <c r="E224" i="1"/>
  <c r="C225" i="1"/>
  <c r="D225" i="1"/>
  <c r="E225" i="1"/>
  <c r="C226" i="1"/>
  <c r="D226" i="1"/>
  <c r="E226" i="1"/>
  <c r="C227" i="1"/>
  <c r="D227" i="1"/>
  <c r="E227" i="1"/>
  <c r="C228" i="1"/>
  <c r="D228" i="1"/>
  <c r="E228" i="1"/>
  <c r="C229" i="1"/>
  <c r="D229" i="1"/>
  <c r="E229" i="1"/>
  <c r="C230" i="1"/>
  <c r="D230" i="1"/>
  <c r="E230" i="1"/>
  <c r="C231" i="1"/>
  <c r="D231" i="1"/>
  <c r="E231" i="1"/>
  <c r="C232" i="1"/>
  <c r="D232" i="1"/>
  <c r="E232" i="1"/>
  <c r="C233" i="1"/>
  <c r="D233" i="1"/>
  <c r="E233" i="1"/>
  <c r="C234" i="1"/>
  <c r="D234" i="1"/>
  <c r="E234" i="1"/>
  <c r="C235" i="1"/>
  <c r="D235" i="1"/>
  <c r="E235" i="1"/>
  <c r="C236" i="1"/>
  <c r="D236" i="1"/>
  <c r="E236" i="1"/>
  <c r="C237" i="1"/>
  <c r="D237" i="1"/>
  <c r="E237" i="1"/>
  <c r="C238" i="1"/>
  <c r="D238" i="1"/>
  <c r="E238" i="1"/>
  <c r="C239" i="1"/>
  <c r="D239" i="1"/>
  <c r="E239" i="1"/>
  <c r="C240" i="1"/>
  <c r="D240" i="1"/>
  <c r="E240" i="1"/>
  <c r="C241" i="1"/>
  <c r="D241" i="1"/>
  <c r="E241" i="1"/>
  <c r="C242" i="1"/>
  <c r="D242" i="1"/>
  <c r="E242" i="1"/>
  <c r="C243" i="1"/>
  <c r="D243" i="1"/>
  <c r="E243" i="1"/>
  <c r="C244" i="1"/>
  <c r="D244" i="1"/>
  <c r="E244" i="1"/>
  <c r="C245" i="1"/>
  <c r="D245" i="1"/>
  <c r="E245" i="1"/>
  <c r="C246" i="1"/>
  <c r="D246" i="1"/>
  <c r="E246" i="1"/>
  <c r="C247" i="1"/>
  <c r="D247" i="1"/>
  <c r="E247" i="1"/>
  <c r="C248" i="1"/>
  <c r="D248" i="1"/>
  <c r="E248" i="1"/>
  <c r="C249" i="1"/>
  <c r="D249" i="1"/>
  <c r="E249" i="1"/>
  <c r="C250" i="1"/>
  <c r="D250" i="1"/>
  <c r="E250" i="1"/>
  <c r="C251" i="1"/>
  <c r="D251" i="1"/>
  <c r="E251" i="1"/>
  <c r="C252" i="1"/>
  <c r="D252" i="1"/>
  <c r="E252" i="1"/>
  <c r="C253" i="1"/>
  <c r="D253" i="1"/>
  <c r="E253" i="1"/>
  <c r="C254" i="1"/>
  <c r="D254" i="1"/>
  <c r="E254" i="1"/>
  <c r="C255" i="1"/>
  <c r="D255" i="1"/>
  <c r="E255" i="1"/>
  <c r="C256" i="1"/>
  <c r="D256" i="1"/>
  <c r="E256" i="1"/>
  <c r="C257" i="1"/>
  <c r="D257" i="1"/>
  <c r="E257" i="1"/>
  <c r="C258" i="1"/>
  <c r="D258" i="1"/>
  <c r="E258" i="1"/>
  <c r="C259" i="1"/>
  <c r="D259" i="1"/>
  <c r="E259" i="1"/>
  <c r="C260" i="1"/>
  <c r="D260" i="1"/>
  <c r="E260" i="1"/>
  <c r="C261" i="1"/>
  <c r="D261" i="1"/>
  <c r="E261" i="1"/>
  <c r="C262" i="1"/>
  <c r="D262" i="1"/>
  <c r="E262" i="1"/>
  <c r="C263" i="1"/>
  <c r="D263" i="1"/>
  <c r="E263" i="1"/>
  <c r="C264" i="1"/>
  <c r="D264" i="1"/>
  <c r="E264" i="1"/>
  <c r="C265" i="1"/>
  <c r="D265" i="1"/>
  <c r="E265" i="1"/>
  <c r="C266" i="1"/>
  <c r="D266" i="1"/>
  <c r="E266" i="1"/>
  <c r="C267" i="1"/>
  <c r="D267" i="1"/>
  <c r="E267" i="1"/>
  <c r="C268" i="1"/>
  <c r="D268" i="1"/>
  <c r="E268" i="1"/>
  <c r="C269" i="1"/>
  <c r="D269" i="1"/>
  <c r="E269" i="1"/>
  <c r="C270" i="1"/>
  <c r="D270" i="1"/>
  <c r="E270" i="1"/>
  <c r="C271" i="1"/>
  <c r="D271" i="1"/>
  <c r="E271" i="1"/>
  <c r="C272" i="1"/>
  <c r="D272" i="1"/>
  <c r="E272" i="1"/>
  <c r="C273" i="1"/>
  <c r="D273" i="1"/>
  <c r="E273" i="1"/>
  <c r="C274" i="1"/>
  <c r="D274" i="1"/>
  <c r="E274" i="1"/>
  <c r="C275" i="1"/>
  <c r="D275" i="1"/>
  <c r="E275" i="1"/>
  <c r="C276" i="1"/>
  <c r="D276" i="1"/>
  <c r="E276" i="1"/>
  <c r="C277" i="1"/>
  <c r="D277" i="1"/>
  <c r="E277" i="1"/>
  <c r="C278" i="1"/>
  <c r="D278" i="1"/>
  <c r="E278" i="1"/>
  <c r="C279" i="1"/>
  <c r="D279" i="1"/>
  <c r="E279" i="1"/>
  <c r="C280" i="1"/>
  <c r="D280" i="1"/>
  <c r="E280" i="1"/>
  <c r="C281" i="1"/>
  <c r="D281" i="1"/>
  <c r="E281" i="1"/>
  <c r="C282" i="1"/>
  <c r="D282" i="1"/>
  <c r="E282" i="1"/>
  <c r="C283" i="1"/>
  <c r="D283" i="1"/>
  <c r="E283" i="1"/>
  <c r="C284" i="1"/>
  <c r="D284" i="1"/>
  <c r="E284" i="1"/>
  <c r="C285" i="1"/>
  <c r="D285" i="1"/>
  <c r="E285" i="1"/>
  <c r="C286" i="1"/>
  <c r="D286" i="1"/>
  <c r="E286" i="1"/>
  <c r="C287" i="1"/>
  <c r="D287" i="1"/>
  <c r="E287" i="1"/>
  <c r="C288" i="1"/>
  <c r="D288" i="1"/>
  <c r="E288" i="1"/>
  <c r="C289" i="1"/>
  <c r="D289" i="1"/>
  <c r="E289" i="1"/>
  <c r="C290" i="1"/>
  <c r="D290" i="1"/>
  <c r="E290" i="1"/>
  <c r="C291" i="1"/>
  <c r="D291" i="1"/>
  <c r="E291" i="1"/>
  <c r="C292" i="1"/>
  <c r="D292" i="1"/>
  <c r="E292" i="1"/>
  <c r="C293" i="1"/>
  <c r="D293" i="1"/>
  <c r="E293" i="1"/>
  <c r="C294" i="1"/>
  <c r="D294" i="1"/>
  <c r="E294" i="1"/>
  <c r="C295" i="1"/>
  <c r="D295" i="1"/>
  <c r="E295" i="1"/>
  <c r="C296" i="1"/>
  <c r="D296" i="1"/>
  <c r="E296" i="1"/>
  <c r="C297" i="1"/>
  <c r="D297" i="1"/>
  <c r="E297" i="1"/>
  <c r="C298" i="1"/>
  <c r="D298" i="1"/>
  <c r="E298" i="1"/>
  <c r="C299" i="1"/>
  <c r="D299" i="1"/>
  <c r="E299" i="1"/>
  <c r="C300" i="1"/>
  <c r="D300" i="1"/>
  <c r="E300" i="1"/>
  <c r="C301" i="1"/>
  <c r="D301" i="1"/>
  <c r="E301" i="1"/>
  <c r="C302" i="1"/>
  <c r="D302" i="1"/>
  <c r="E302" i="1"/>
  <c r="C303" i="1"/>
  <c r="D303" i="1"/>
  <c r="E303" i="1"/>
  <c r="C304" i="1"/>
  <c r="D304" i="1"/>
  <c r="E304" i="1"/>
  <c r="C305" i="1"/>
  <c r="D305" i="1"/>
  <c r="E305" i="1"/>
  <c r="C306" i="1"/>
  <c r="D306" i="1"/>
  <c r="E306" i="1"/>
  <c r="C307" i="1"/>
  <c r="D307" i="1"/>
  <c r="E307" i="1"/>
  <c r="C308" i="1"/>
  <c r="D308" i="1"/>
  <c r="E308" i="1"/>
  <c r="C309" i="1"/>
  <c r="D309" i="1"/>
  <c r="E309" i="1"/>
  <c r="C310" i="1"/>
  <c r="D310" i="1"/>
  <c r="E310" i="1"/>
  <c r="C311" i="1"/>
  <c r="D311" i="1"/>
  <c r="E311" i="1"/>
  <c r="C312" i="1"/>
  <c r="D312" i="1"/>
  <c r="E312" i="1"/>
  <c r="C313" i="1"/>
  <c r="D313" i="1"/>
  <c r="E313" i="1"/>
  <c r="C314" i="1"/>
  <c r="D314" i="1"/>
  <c r="E314" i="1"/>
  <c r="C315" i="1"/>
  <c r="D315" i="1"/>
  <c r="E315" i="1"/>
  <c r="C316" i="1"/>
  <c r="D316" i="1"/>
  <c r="E316" i="1"/>
  <c r="C317" i="1"/>
  <c r="D317" i="1"/>
  <c r="E317" i="1"/>
  <c r="C318" i="1"/>
  <c r="D318" i="1"/>
  <c r="E318" i="1"/>
  <c r="C319" i="1"/>
  <c r="D319" i="1"/>
  <c r="E319" i="1"/>
  <c r="C320" i="1"/>
  <c r="D320" i="1"/>
  <c r="E320" i="1"/>
  <c r="C321" i="1"/>
  <c r="D321" i="1"/>
  <c r="E321" i="1"/>
  <c r="C322" i="1"/>
  <c r="D322" i="1"/>
  <c r="E322" i="1"/>
  <c r="C323" i="1"/>
  <c r="D323" i="1"/>
  <c r="E323" i="1"/>
  <c r="C324" i="1"/>
  <c r="D324" i="1"/>
  <c r="E324" i="1"/>
  <c r="C325" i="1"/>
  <c r="D325" i="1"/>
  <c r="E325" i="1"/>
  <c r="C326" i="1"/>
  <c r="D326" i="1"/>
  <c r="E326" i="1"/>
  <c r="C327" i="1"/>
  <c r="D327" i="1"/>
  <c r="E327" i="1"/>
  <c r="C328" i="1"/>
  <c r="D328" i="1"/>
  <c r="E328" i="1"/>
  <c r="C329" i="1"/>
  <c r="D329" i="1"/>
  <c r="E329" i="1"/>
  <c r="C330" i="1"/>
  <c r="D330" i="1"/>
  <c r="E330" i="1"/>
  <c r="C331" i="1"/>
  <c r="D331" i="1"/>
  <c r="E331" i="1"/>
  <c r="C332" i="1"/>
  <c r="D332" i="1"/>
  <c r="E332" i="1"/>
  <c r="C333" i="1"/>
  <c r="D333" i="1"/>
  <c r="E333" i="1"/>
  <c r="C334" i="1"/>
  <c r="D334" i="1"/>
  <c r="E334" i="1"/>
  <c r="C335" i="1"/>
  <c r="D335" i="1"/>
  <c r="E335" i="1"/>
  <c r="C336" i="1"/>
  <c r="D336" i="1"/>
  <c r="E336" i="1"/>
  <c r="C337" i="1"/>
  <c r="D337" i="1"/>
  <c r="E337" i="1"/>
  <c r="C338" i="1"/>
  <c r="D338" i="1"/>
  <c r="E338" i="1"/>
  <c r="C339" i="1"/>
  <c r="D339" i="1"/>
  <c r="E339" i="1"/>
  <c r="C340" i="1"/>
  <c r="D340" i="1"/>
  <c r="E340" i="1"/>
  <c r="C341" i="1"/>
  <c r="D341" i="1"/>
  <c r="E341" i="1"/>
  <c r="C342" i="1"/>
  <c r="D342" i="1"/>
  <c r="E342" i="1"/>
  <c r="C343" i="1"/>
  <c r="D343" i="1"/>
  <c r="E343" i="1"/>
  <c r="C344" i="1"/>
  <c r="D344" i="1"/>
  <c r="E344" i="1"/>
  <c r="C345" i="1"/>
  <c r="D345" i="1"/>
  <c r="E345" i="1"/>
  <c r="C346" i="1"/>
  <c r="D346" i="1"/>
  <c r="E346" i="1"/>
  <c r="C347" i="1"/>
  <c r="D347" i="1"/>
  <c r="E347" i="1"/>
  <c r="C348" i="1"/>
  <c r="D348" i="1"/>
  <c r="E348" i="1"/>
  <c r="C349" i="1"/>
  <c r="D349" i="1"/>
  <c r="E349" i="1"/>
  <c r="C350" i="1"/>
  <c r="D350" i="1"/>
  <c r="E350" i="1"/>
  <c r="C351" i="1"/>
  <c r="D351" i="1"/>
  <c r="E351" i="1"/>
  <c r="C352" i="1"/>
  <c r="D352" i="1"/>
  <c r="E352" i="1"/>
  <c r="C353" i="1"/>
  <c r="D353" i="1"/>
  <c r="E353" i="1"/>
  <c r="C354" i="1"/>
  <c r="D354" i="1"/>
  <c r="E354" i="1"/>
  <c r="C355" i="1"/>
  <c r="D355" i="1"/>
  <c r="E355" i="1"/>
  <c r="C356" i="1"/>
  <c r="D356" i="1"/>
  <c r="E356" i="1"/>
  <c r="C357" i="1"/>
  <c r="D357" i="1"/>
  <c r="E357" i="1"/>
  <c r="C358" i="1"/>
  <c r="D358" i="1"/>
  <c r="E358" i="1"/>
  <c r="C359" i="1"/>
  <c r="D359" i="1"/>
  <c r="E359" i="1"/>
  <c r="C360" i="1"/>
  <c r="D360" i="1"/>
  <c r="E360" i="1"/>
  <c r="C361" i="1"/>
  <c r="D361" i="1"/>
  <c r="E361" i="1"/>
  <c r="C362" i="1"/>
  <c r="D362" i="1"/>
  <c r="E362" i="1"/>
  <c r="C363" i="1"/>
  <c r="D363" i="1"/>
  <c r="E363" i="1"/>
  <c r="C364" i="1"/>
  <c r="D364" i="1"/>
  <c r="E364" i="1"/>
  <c r="C365" i="1"/>
  <c r="D365" i="1"/>
  <c r="E365" i="1"/>
  <c r="C366" i="1"/>
  <c r="D366" i="1"/>
  <c r="E366" i="1"/>
  <c r="C367" i="1"/>
  <c r="D367" i="1"/>
  <c r="E367" i="1"/>
  <c r="C368" i="1"/>
  <c r="D368" i="1"/>
  <c r="E368" i="1"/>
  <c r="C369" i="1"/>
  <c r="D369" i="1"/>
  <c r="E369" i="1"/>
  <c r="C370" i="1"/>
  <c r="D370" i="1"/>
  <c r="E370" i="1"/>
  <c r="C371" i="1"/>
  <c r="D371" i="1"/>
  <c r="E371" i="1"/>
  <c r="C372" i="1"/>
  <c r="D372" i="1"/>
  <c r="E372" i="1"/>
  <c r="C373" i="1"/>
  <c r="D373" i="1"/>
  <c r="E373" i="1"/>
  <c r="C374" i="1"/>
  <c r="D374" i="1"/>
  <c r="E374" i="1"/>
  <c r="C375" i="1"/>
  <c r="D375" i="1"/>
  <c r="E375" i="1"/>
  <c r="C376" i="1"/>
  <c r="D376" i="1"/>
  <c r="E376" i="1"/>
  <c r="C377" i="1"/>
  <c r="D377" i="1"/>
  <c r="E377" i="1"/>
  <c r="C378" i="1"/>
  <c r="D378" i="1"/>
  <c r="E378" i="1"/>
  <c r="C379" i="1"/>
  <c r="D379" i="1"/>
  <c r="E379" i="1"/>
  <c r="C380" i="1"/>
  <c r="D380" i="1"/>
  <c r="E380" i="1"/>
  <c r="C381" i="1"/>
  <c r="D381" i="1"/>
  <c r="E381" i="1"/>
  <c r="C382" i="1"/>
  <c r="D382" i="1"/>
  <c r="E382" i="1"/>
  <c r="C383" i="1"/>
  <c r="D383" i="1"/>
  <c r="E383" i="1"/>
  <c r="C384" i="1"/>
  <c r="D384" i="1"/>
  <c r="E384" i="1"/>
  <c r="C385" i="1"/>
  <c r="D385" i="1"/>
  <c r="E385" i="1"/>
  <c r="C386" i="1"/>
  <c r="D386" i="1"/>
  <c r="E386" i="1"/>
  <c r="C387" i="1"/>
  <c r="D387" i="1"/>
  <c r="E387" i="1"/>
  <c r="C388" i="1"/>
  <c r="D388" i="1"/>
  <c r="E388" i="1"/>
  <c r="C389" i="1"/>
  <c r="D389" i="1"/>
  <c r="E389" i="1"/>
  <c r="C390" i="1"/>
  <c r="D390" i="1"/>
  <c r="E390" i="1"/>
  <c r="C391" i="1"/>
  <c r="D391" i="1"/>
  <c r="E391" i="1"/>
  <c r="C392" i="1"/>
  <c r="D392" i="1"/>
  <c r="E392" i="1"/>
  <c r="C393" i="1"/>
  <c r="D393" i="1"/>
  <c r="E393" i="1"/>
  <c r="C394" i="1"/>
  <c r="D394" i="1"/>
  <c r="E394" i="1"/>
  <c r="C395" i="1"/>
  <c r="D395" i="1"/>
  <c r="E395" i="1"/>
  <c r="C396" i="1"/>
  <c r="D396" i="1"/>
  <c r="E396" i="1"/>
  <c r="C397" i="1"/>
  <c r="D397" i="1"/>
  <c r="E397" i="1"/>
  <c r="C398" i="1"/>
  <c r="D398" i="1"/>
  <c r="E398" i="1"/>
  <c r="C399" i="1"/>
  <c r="D399" i="1"/>
  <c r="E399" i="1"/>
  <c r="C400" i="1"/>
  <c r="D400" i="1"/>
  <c r="E400" i="1"/>
  <c r="C401" i="1"/>
  <c r="D401" i="1"/>
  <c r="E401" i="1"/>
  <c r="C402" i="1"/>
  <c r="D402" i="1"/>
  <c r="E402" i="1"/>
  <c r="C403" i="1"/>
  <c r="D403" i="1"/>
  <c r="E403" i="1"/>
  <c r="C404" i="1"/>
  <c r="D404" i="1"/>
  <c r="E404" i="1"/>
  <c r="C405" i="1"/>
  <c r="D405" i="1"/>
  <c r="E405" i="1"/>
  <c r="C406" i="1"/>
  <c r="D406" i="1"/>
  <c r="E406" i="1"/>
  <c r="C407" i="1"/>
  <c r="D407" i="1"/>
  <c r="E407" i="1"/>
  <c r="C408" i="1"/>
  <c r="D408" i="1"/>
  <c r="E408" i="1"/>
  <c r="C409" i="1"/>
  <c r="D409" i="1"/>
  <c r="E409" i="1"/>
  <c r="C410" i="1"/>
  <c r="D410" i="1"/>
  <c r="E410" i="1"/>
  <c r="C411" i="1"/>
  <c r="D411" i="1"/>
  <c r="E411" i="1"/>
  <c r="C412" i="1"/>
  <c r="D412" i="1"/>
  <c r="E412" i="1"/>
  <c r="C413" i="1"/>
  <c r="D413" i="1"/>
  <c r="E413" i="1"/>
  <c r="C414" i="1"/>
  <c r="D414" i="1"/>
  <c r="E414" i="1"/>
  <c r="C415" i="1"/>
  <c r="D415" i="1"/>
  <c r="E415" i="1"/>
  <c r="E6" i="1"/>
  <c r="D6" i="1"/>
  <c r="C6" i="1"/>
  <c r="O415" i="1" l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</calcChain>
</file>

<file path=xl/sharedStrings.xml><?xml version="1.0" encoding="utf-8"?>
<sst xmlns="http://schemas.openxmlformats.org/spreadsheetml/2006/main" count="3615" uniqueCount="803">
  <si>
    <t>PERMENDAGRI NO.108 TAHUN 2016 TENTANG PENGGOLONGAN DAN KODEFIKASI 
BARANG MILIK DAERAH</t>
  </si>
  <si>
    <t>HASIL MAPPING DARI PERMENDAGRI 17/2007 KE PERMENDAGRI 108/2016</t>
  </si>
  <si>
    <t>nomor</t>
  </si>
  <si>
    <t>Akun</t>
  </si>
  <si>
    <t>Kelompok</t>
  </si>
  <si>
    <t>Jenis</t>
  </si>
  <si>
    <t>Objek</t>
  </si>
  <si>
    <t>Rincian Objek</t>
  </si>
  <si>
    <t>Sub Rincian Objek</t>
  </si>
  <si>
    <t>Sub-Sub Rincian Objek</t>
  </si>
  <si>
    <t>Uraian</t>
  </si>
  <si>
    <t>koreksi</t>
  </si>
  <si>
    <t>TANAH</t>
  </si>
  <si>
    <t>01</t>
  </si>
  <si>
    <t>TANAH PERSIL</t>
  </si>
  <si>
    <t>TANAH BANGUNAN PERUMAHAN/G.TEMPAT TINGGAL</t>
  </si>
  <si>
    <t>I</t>
  </si>
  <si>
    <t>001</t>
  </si>
  <si>
    <t>Tanah Bangunan Rumah Negara Golongan I</t>
  </si>
  <si>
    <t>002</t>
  </si>
  <si>
    <t>Tanah Bangunan Rumah Negara Golongan II</t>
  </si>
  <si>
    <t>02</t>
  </si>
  <si>
    <t>003</t>
  </si>
  <si>
    <t>Tanah Bangunan Rumah Negara Golongan III</t>
  </si>
  <si>
    <t>03</t>
  </si>
  <si>
    <t>004</t>
  </si>
  <si>
    <t>Tanah Bangunan Rumah Negara Tanpa Golongan</t>
  </si>
  <si>
    <t>04</t>
  </si>
  <si>
    <t>005</t>
  </si>
  <si>
    <t>Tanah Bangunan Mess/Wisma/Asrama</t>
  </si>
  <si>
    <t>05</t>
  </si>
  <si>
    <t>006</t>
  </si>
  <si>
    <t>Tanah Bangunan Peristirahatan/Bungalaow/Cottage</t>
  </si>
  <si>
    <t>06</t>
  </si>
  <si>
    <t>007</t>
  </si>
  <si>
    <t>Tanah Bangunan Rumah Penjaga</t>
  </si>
  <si>
    <t>07</t>
  </si>
  <si>
    <t>008</t>
  </si>
  <si>
    <t>Tanah Bangunan Rumah LP</t>
  </si>
  <si>
    <t>08</t>
  </si>
  <si>
    <t>009</t>
  </si>
  <si>
    <t>Tanah Bangunan Rumah Tahanan/Rutan</t>
  </si>
  <si>
    <t>09</t>
  </si>
  <si>
    <t>010</t>
  </si>
  <si>
    <t>Tanah Bangunan Flat/Rumah Susun</t>
  </si>
  <si>
    <t>Tanah Bangunan Rumah Fasilitas Tempat Tinggal Lainnya</t>
  </si>
  <si>
    <t>011</t>
  </si>
  <si>
    <t>Tanah Kaveling Tanah Matang</t>
  </si>
  <si>
    <t>Lain-lain</t>
  </si>
  <si>
    <t>012</t>
  </si>
  <si>
    <t>Dst….</t>
  </si>
  <si>
    <t>TANAH UNTUK BANGUNAN GED.PERDAGANGAN/PERUSAHAAN</t>
  </si>
  <si>
    <t>Tanah Bangunan Pasar</t>
  </si>
  <si>
    <t>Tanah Bangunan Pertokoan/Rumah Toko/Koperasi</t>
  </si>
  <si>
    <t>Tanah Bangunan Pertokoan/Rumah Toko</t>
  </si>
  <si>
    <t>Tanah Bangunan Gudang</t>
  </si>
  <si>
    <t>Tanah Bangunan Stasiun Kereta Api</t>
  </si>
  <si>
    <t>Tanah Bangunan Bioskop</t>
  </si>
  <si>
    <t>Tanah Bangunan Hotel/Penginapan/Motel</t>
  </si>
  <si>
    <t>Tanah Bangunan Hotel/Penginapan</t>
  </si>
  <si>
    <t>Tanah Bangunan Terminal Darat</t>
  </si>
  <si>
    <t>Tanah Bangunan Terminal Laut</t>
  </si>
  <si>
    <t>Tanah Bangunan Terminal Udara</t>
  </si>
  <si>
    <t>Tanah Bangunan Gedung Kesenian</t>
  </si>
  <si>
    <t>Tanah Bangunan Gedung Pameran</t>
  </si>
  <si>
    <t>Tanah Bangunan Gedung Pusat Perbelanjaan</t>
  </si>
  <si>
    <t>013</t>
  </si>
  <si>
    <t>Tanah Bangunan Apotik</t>
  </si>
  <si>
    <t>014</t>
  </si>
  <si>
    <t>Tanah Bangunan Garasi/Pool</t>
  </si>
  <si>
    <t>Tanah Bangunan Gedung Perdagangan Lainnya</t>
  </si>
  <si>
    <t>015</t>
  </si>
  <si>
    <t>TANAH UNTUK BANGUNAN INDUSTRI</t>
  </si>
  <si>
    <t>Tanah Bangunan Industri Makanan</t>
  </si>
  <si>
    <t>Tanah Bangunan Industri Minuman</t>
  </si>
  <si>
    <t>Tanah Bangunan Industri Alat RT</t>
  </si>
  <si>
    <t>Tanah Bangunan Industri /Alat RT</t>
  </si>
  <si>
    <t>Tanah Bangunan Industri Pakaian/Garment</t>
  </si>
  <si>
    <t>Tanah Bangunan Industri Baja/Besi/Logam</t>
  </si>
  <si>
    <t>Tanah Bangunan Industri Besi /Logam</t>
  </si>
  <si>
    <t>Tanah Bangunan Industri Baja</t>
  </si>
  <si>
    <t>Tanah Bangunan Industri Pengemasan</t>
  </si>
  <si>
    <t>Tanah Bangunan Industri Pengalengan</t>
  </si>
  <si>
    <t>Tanah Bangunan Industri Bengkel</t>
  </si>
  <si>
    <t>Tanah Bangunan Industri Penyulingan Minyak</t>
  </si>
  <si>
    <t>Tanah Bangunan Industri Kimia Dan Pupuk</t>
  </si>
  <si>
    <t>Tanah Bangunan Industri Obat-Obatan</t>
  </si>
  <si>
    <t>Tanah Bangunan Industri Obat-obatan</t>
  </si>
  <si>
    <t>Tanah Bangunan Industri Semen</t>
  </si>
  <si>
    <t>Tanah Bangunan Industri Batu-Bata/Batako</t>
  </si>
  <si>
    <t>Tanah Bangunan Industri Batu Bata / Batako</t>
  </si>
  <si>
    <t>Tanah Bangunan Industri Genteng</t>
  </si>
  <si>
    <t>Tanah Bangunan Industri Percetakan</t>
  </si>
  <si>
    <t>Tanah Bangunan Industri Tekstil</t>
  </si>
  <si>
    <t>016</t>
  </si>
  <si>
    <t>Tanah Bangunan Industri Alat Olah Raga</t>
  </si>
  <si>
    <t>017</t>
  </si>
  <si>
    <t>Tanah Bangunan Industri Kendaraan/Otomotif</t>
  </si>
  <si>
    <t>018</t>
  </si>
  <si>
    <t>Tanah Bangunan Industri Persenjataan</t>
  </si>
  <si>
    <t>019</t>
  </si>
  <si>
    <t>Tanah Bangunan Industri Kapal Udara</t>
  </si>
  <si>
    <t>020</t>
  </si>
  <si>
    <t>Tanah Bangunan Industri Kapal Laut</t>
  </si>
  <si>
    <t>021</t>
  </si>
  <si>
    <t>Tanah Bangunan Industri Kereta Api</t>
  </si>
  <si>
    <t>Tanah Bangunan Industri Kapal Api</t>
  </si>
  <si>
    <t>022</t>
  </si>
  <si>
    <t>Tanah Bangunan Industri Keramik/Marmer</t>
  </si>
  <si>
    <t>Tanah Bangunan Industri Keramik / Marmer</t>
  </si>
  <si>
    <t>023</t>
  </si>
  <si>
    <t>Tanah Untuk Bangunan Pabrik Es</t>
  </si>
  <si>
    <t>024</t>
  </si>
  <si>
    <t>Tanah Bangunan Industri Industri Lainnya</t>
  </si>
  <si>
    <t>TANAH UNTUK BANGUNAN TEMPAT KERJA</t>
  </si>
  <si>
    <t>TANAH UNTUK BANGUNAN TEMPAT KERJA/JASA</t>
  </si>
  <si>
    <t>Tanah Bangunan Kantor Pemerintah</t>
  </si>
  <si>
    <t>Tanah Bangunan Pendidikan Dan Latihan</t>
  </si>
  <si>
    <t>Tanah Bangunan Rumah Sakit</t>
  </si>
  <si>
    <t>Tanah Bangunan Balai Sidang/Pertemuan</t>
  </si>
  <si>
    <t>Tanah Bangunan Balai Nikah</t>
  </si>
  <si>
    <t>Tanah Bangunan Puskesmas/Posyandu</t>
  </si>
  <si>
    <t>Tanah Bangunan Poliklinik</t>
  </si>
  <si>
    <t>Tanah Bangunan Laboratorium</t>
  </si>
  <si>
    <t>Tanah Bangunan Laboraturium</t>
  </si>
  <si>
    <t>Tanah Bangunan Fumigasi/Sterilisasi</t>
  </si>
  <si>
    <t>Tanah Bangunan Fumigasi/Sterlisasi</t>
  </si>
  <si>
    <t>Tanah Bangunan Karantina</t>
  </si>
  <si>
    <t>Tanah Bangunan Bangsal Pengolahan/Pondok Kerja</t>
  </si>
  <si>
    <t>Tanah Bangunan Bangsal Pengolahan Pondok Kerja</t>
  </si>
  <si>
    <t>Tanah Bangunan Kandang Hewan</t>
  </si>
  <si>
    <t>Tanah Bangunan Bangunan Pembibitan</t>
  </si>
  <si>
    <t>Tanah Bangunan-bangunan Pembibitan</t>
  </si>
  <si>
    <t>Tanah Bangunan Rumah Pendingin</t>
  </si>
  <si>
    <t>Tanah Bangunan Rumah Pengeringan</t>
  </si>
  <si>
    <t>Tanah Bangunan Rumah Pengering</t>
  </si>
  <si>
    <t>Tanah Bangunan Stasiun Penelitian</t>
  </si>
  <si>
    <t>Tanah Bangunan Gedung Pelelangan Ikan</t>
  </si>
  <si>
    <t>Tanah Bangunan Pos Jaga/Menara Jaga</t>
  </si>
  <si>
    <t>Tanah Bangunan Menara Pengawas/Tower/Lalu Lintas Darat,Laut,Udara</t>
  </si>
  <si>
    <t>Tanah Bangunan Pelabuhan Udara</t>
  </si>
  <si>
    <t>Tanah Bangunan Dermaga</t>
  </si>
  <si>
    <t>Tanah Bangunan Gedung Perpustakaan</t>
  </si>
  <si>
    <t>Tanah Bangunan Gedung Pengujian Kelaikan</t>
  </si>
  <si>
    <t>Tanah Bangunan Gedung Oceanorium/Ebservatorium</t>
  </si>
  <si>
    <t>Tanah Bangunan Gedung Pemotongan Hewan</t>
  </si>
  <si>
    <t>Tanah Bangunan Gedung Pembakaran Bangkai Hewan</t>
  </si>
  <si>
    <t>025</t>
  </si>
  <si>
    <t>Tanah Bangunan Perawatan Kereta Api (Depo)</t>
  </si>
  <si>
    <t>026</t>
  </si>
  <si>
    <t>Tanah Bangunan Tempat Kerja Lainnya</t>
  </si>
  <si>
    <t>TANAH UNTUK BANGUNAN GEDUNG SARANA OLAH RAGA</t>
  </si>
  <si>
    <t>Tanah Untuk Bangunan Gedung Olah Raga</t>
  </si>
  <si>
    <t>K</t>
  </si>
  <si>
    <t>Tanah Untuk Bangunan Sarana Olah Raga Tertutup</t>
  </si>
  <si>
    <t>Tanah Bangunan Sarana Olah Raga Terbatas</t>
  </si>
  <si>
    <t>Tanah Untuk Bangunan Gedung Sarana Olah Raga Terbuka</t>
  </si>
  <si>
    <t>Tanah Bangunan Sarana Olah Raga Terbuka</t>
  </si>
  <si>
    <t>Tanah Bangunan Sarana Olah Raga Lainnya</t>
  </si>
  <si>
    <t>TANAH UNTUK BANGUNAN TEMPAT IBADAH</t>
  </si>
  <si>
    <t>Tanah Untuk Bangunan Masjid</t>
  </si>
  <si>
    <t>Tanah Untuk Bangunan Gereja</t>
  </si>
  <si>
    <t>Tanah Untuk Bangunan Pura</t>
  </si>
  <si>
    <t>Tanah Untuk Bangunan Vihara</t>
  </si>
  <si>
    <t>Tanah Untuk Bangunan Klenteng/Kuil</t>
  </si>
  <si>
    <t>Tanah Untuk Bangunan Krematorium</t>
  </si>
  <si>
    <t>TANAH PERSIL LAINNYA</t>
  </si>
  <si>
    <t>TANAH NON PERSIL</t>
  </si>
  <si>
    <t>TANAH BASAH</t>
  </si>
  <si>
    <t>Tanah Rawa</t>
  </si>
  <si>
    <t>Danau/Rawa</t>
  </si>
  <si>
    <t>F</t>
  </si>
  <si>
    <t>Rawa</t>
  </si>
  <si>
    <t>Tanah Danau/Situ/Embung</t>
  </si>
  <si>
    <t>Danau</t>
  </si>
  <si>
    <t>Sanau/Situ</t>
  </si>
  <si>
    <t>Tanah Tambak/Empang/Kolam Ikan/Akuarium</t>
  </si>
  <si>
    <t>Kolam Ikan</t>
  </si>
  <si>
    <t>Tambak</t>
  </si>
  <si>
    <t>Air Tawar</t>
  </si>
  <si>
    <t>Kolam Air Tawar</t>
  </si>
  <si>
    <t>Tanah Waduk</t>
  </si>
  <si>
    <t>Waduk</t>
  </si>
  <si>
    <t>Tanah Sawah Irigasi</t>
  </si>
  <si>
    <t>Tanah Aliran Sungai</t>
  </si>
  <si>
    <t>Tanah Muara</t>
  </si>
  <si>
    <t>Daerah Aliran Sungai (DAS)</t>
  </si>
  <si>
    <t>Daerah Sempadan Sumber Air</t>
  </si>
  <si>
    <t>TANAH KERING</t>
  </si>
  <si>
    <t>Tanah Tegalan</t>
  </si>
  <si>
    <t>Tanah Kosong Yang Sudah Diperuntukkan</t>
  </si>
  <si>
    <t>Tanah Hasil Reklamasi</t>
  </si>
  <si>
    <t>TANAH PERKEBUNAN</t>
  </si>
  <si>
    <t>Tanah Perkebunan</t>
  </si>
  <si>
    <t>C</t>
  </si>
  <si>
    <r>
      <t xml:space="preserve">Perkebunan </t>
    </r>
    <r>
      <rPr>
        <b/>
        <sz val="12"/>
        <rFont val="Bookman Old Style"/>
        <family val="1"/>
      </rPr>
      <t>*mapping disesuaikan fungsi lahan perkebunan (kebun entres, induk dan percobaan)</t>
    </r>
  </si>
  <si>
    <t>Karet</t>
  </si>
  <si>
    <t>Kopi</t>
  </si>
  <si>
    <t>Kelapa</t>
  </si>
  <si>
    <t>Randu</t>
  </si>
  <si>
    <t xml:space="preserve">Lada </t>
  </si>
  <si>
    <t>Teh</t>
  </si>
  <si>
    <t>Kina</t>
  </si>
  <si>
    <t>Coklat</t>
  </si>
  <si>
    <t>Kelapa Sawit</t>
  </si>
  <si>
    <t>Sereh</t>
  </si>
  <si>
    <t>Cengkeh</t>
  </si>
  <si>
    <t>Pala</t>
  </si>
  <si>
    <t>Sagu</t>
  </si>
  <si>
    <t>Jambu Mente</t>
  </si>
  <si>
    <t>Tengkawang</t>
  </si>
  <si>
    <t>Minyak Kayu Putih</t>
  </si>
  <si>
    <t>Kayu Manis</t>
  </si>
  <si>
    <t>Petai</t>
  </si>
  <si>
    <t>Tanah Kebun Entres</t>
  </si>
  <si>
    <t>Tanah Kebun Induk</t>
  </si>
  <si>
    <t>Tanah Kebun Percobaan</t>
  </si>
  <si>
    <t>TANAH HUTAN</t>
  </si>
  <si>
    <t xml:space="preserve">Hutan </t>
  </si>
  <si>
    <t>Tanah Hutan Produksi</t>
  </si>
  <si>
    <t>Hutan Lebat (jenis kayu utama)</t>
  </si>
  <si>
    <t>E</t>
  </si>
  <si>
    <t>Meranti</t>
  </si>
  <si>
    <t>Rasamala</t>
  </si>
  <si>
    <t>Bulian</t>
  </si>
  <si>
    <t>Medang</t>
  </si>
  <si>
    <t>Jelutung</t>
  </si>
  <si>
    <t>Ramin</t>
  </si>
  <si>
    <t>Puspa</t>
  </si>
  <si>
    <t>Sunintem</t>
  </si>
  <si>
    <t>Albenia</t>
  </si>
  <si>
    <t>Kayu Besi/Ulin</t>
  </si>
  <si>
    <t>Hutan Belukar</t>
  </si>
  <si>
    <t>Semak-semak</t>
  </si>
  <si>
    <t>Hutan Tanaman Jenis</t>
  </si>
  <si>
    <t>Jati</t>
  </si>
  <si>
    <t>Pinus</t>
  </si>
  <si>
    <t>Rotan</t>
  </si>
  <si>
    <t>Hutan Alam Sejenis/Hutan Rawa</t>
  </si>
  <si>
    <t>Bakau</t>
  </si>
  <si>
    <t>Cemara (yang tidak ditanaman)</t>
  </si>
  <si>
    <t>Galam</t>
  </si>
  <si>
    <t>Nipah</t>
  </si>
  <si>
    <t>Bambu</t>
  </si>
  <si>
    <t>Tanah Hutan Cadangan</t>
  </si>
  <si>
    <t>Hutan Cadangan</t>
  </si>
  <si>
    <t>Tanah Hutan Lindung</t>
  </si>
  <si>
    <t>Hutan Lindung</t>
  </si>
  <si>
    <t>Tanah Hutan Cagar Alam</t>
  </si>
  <si>
    <t>Hutan Cagar Alam</t>
  </si>
  <si>
    <t>Tanah Hutan Wisata</t>
  </si>
  <si>
    <t>Hutan Taman Wisata</t>
  </si>
  <si>
    <t>Tanah Hutan Taman Burung</t>
  </si>
  <si>
    <t>Hutan Taman Burung</t>
  </si>
  <si>
    <t>Tanah Hutan Suaka Marga Satwa</t>
  </si>
  <si>
    <t>Hutan Suaka Marga Satwa</t>
  </si>
  <si>
    <t>Tanah Hutan Taman Nasional</t>
  </si>
  <si>
    <t>Hutan Taman Nasional</t>
  </si>
  <si>
    <t>Tanah Hutan Diklat</t>
  </si>
  <si>
    <t>Hutan Produksi</t>
  </si>
  <si>
    <t>TANAH TANDUS</t>
  </si>
  <si>
    <t>Tanah Tandus/Rusak</t>
  </si>
  <si>
    <t>G</t>
  </si>
  <si>
    <t>Tanah Tandus</t>
  </si>
  <si>
    <t>Tanah Tandus Berbatu-Batu</t>
  </si>
  <si>
    <t>Berbatu-batu</t>
  </si>
  <si>
    <t>Tanah Tandus Bekas Tambang/Galian</t>
  </si>
  <si>
    <t>Bekas Tambang/Galian</t>
  </si>
  <si>
    <t>Tanah Tandus Berpasir/Pasir</t>
  </si>
  <si>
    <t>Tanah Berpasir/Pasir</t>
  </si>
  <si>
    <t>Tanah Tandus Pengambilan/Kuari</t>
  </si>
  <si>
    <t>Tanah Pengambilan/Kuasi</t>
  </si>
  <si>
    <t>TANAH PADANG ALANG-ALANG/RUMPUT</t>
  </si>
  <si>
    <t>Alang-alang dan Padang Rumput</t>
  </si>
  <si>
    <t>H</t>
  </si>
  <si>
    <t>Tanah Padang Alang-Alang</t>
  </si>
  <si>
    <t xml:space="preserve">Alang-alang </t>
  </si>
  <si>
    <t>Tanah Padang Rumput</t>
  </si>
  <si>
    <t>Padang Rumput</t>
  </si>
  <si>
    <t>Tanah Padang Semak Belukar</t>
  </si>
  <si>
    <t>Semak Belukar</t>
  </si>
  <si>
    <t>TANAH PERTANIAN</t>
  </si>
  <si>
    <t>Tanah Pertanian</t>
  </si>
  <si>
    <t>B</t>
  </si>
  <si>
    <t>Tanah Usaha</t>
  </si>
  <si>
    <t>Sawah Satu Tahun Ditanami</t>
  </si>
  <si>
    <t>Padi</t>
  </si>
  <si>
    <t>Palawija</t>
  </si>
  <si>
    <t>Sawah Ditanami Tebu</t>
  </si>
  <si>
    <t>Sawah Ditanami Sayuran</t>
  </si>
  <si>
    <t>Sawah Ditanami Tembakau</t>
  </si>
  <si>
    <t>Sawah Ditanami Rosella</t>
  </si>
  <si>
    <t>Tegalan</t>
  </si>
  <si>
    <t>Buah-buahan</t>
  </si>
  <si>
    <t>Tembakau</t>
  </si>
  <si>
    <t xml:space="preserve">Jagung </t>
  </si>
  <si>
    <t>Ketela Pohon</t>
  </si>
  <si>
    <t>Kacang Tanah</t>
  </si>
  <si>
    <t>Kacang Hijau</t>
  </si>
  <si>
    <t>Kedelai</t>
  </si>
  <si>
    <t>Ubi Jalar</t>
  </si>
  <si>
    <t>Keladi</t>
  </si>
  <si>
    <t>Ladang</t>
  </si>
  <si>
    <t>Jagung</t>
  </si>
  <si>
    <t>Bengkuang</t>
  </si>
  <si>
    <t>Apple</t>
  </si>
  <si>
    <t>Kentang</t>
  </si>
  <si>
    <t>Jeruk</t>
  </si>
  <si>
    <t>TANAH PERTAMBANGAN</t>
  </si>
  <si>
    <t>Tanah Pertambangan</t>
  </si>
  <si>
    <t>J</t>
  </si>
  <si>
    <t>Pertambangan</t>
  </si>
  <si>
    <t>Intan</t>
  </si>
  <si>
    <t xml:space="preserve">Emas </t>
  </si>
  <si>
    <t xml:space="preserve">Perak </t>
  </si>
  <si>
    <t>Nikel</t>
  </si>
  <si>
    <t>Timah</t>
  </si>
  <si>
    <t>Uranium</t>
  </si>
  <si>
    <t>Tembaga</t>
  </si>
  <si>
    <t>Minyak Bumi</t>
  </si>
  <si>
    <t>Batu Bara</t>
  </si>
  <si>
    <t>Koslin</t>
  </si>
  <si>
    <t>Batu Bara Berharga</t>
  </si>
  <si>
    <t>Pasir Berharga</t>
  </si>
  <si>
    <t>TANAH NON PERSIL LAINNYA</t>
  </si>
  <si>
    <t>LAPANGAN</t>
  </si>
  <si>
    <t>Tanah Untuk Bangunan Bukan Gedung</t>
  </si>
  <si>
    <t>TANAH LAPANGAN OLAH RAGA</t>
  </si>
  <si>
    <t>Tanah Lapangan Olah Raga</t>
  </si>
  <si>
    <t>Tanah Lapangan Tenis</t>
  </si>
  <si>
    <t>Tanah Lapangan Basket</t>
  </si>
  <si>
    <t>Tanah Lapangan Badminton/Bulutangkis</t>
  </si>
  <si>
    <t>Tanah Lapangan Golf</t>
  </si>
  <si>
    <t>Tanah Lapangan Sepak Bola</t>
  </si>
  <si>
    <t>Tanah Lapangan Bola Volly</t>
  </si>
  <si>
    <t>Tanah Lapangan Sepak Takraw</t>
  </si>
  <si>
    <t>Tanah Lapangan Pacuan Kuda</t>
  </si>
  <si>
    <t>Tanah Lapangan Balap Sepeda</t>
  </si>
  <si>
    <t>Tanah Lapangan Atletik</t>
  </si>
  <si>
    <t>Tanah Lapangan Softball</t>
  </si>
  <si>
    <t>Tanah Lapangan Hockey</t>
  </si>
  <si>
    <t>Tanah Lapangan Balap Mobil</t>
  </si>
  <si>
    <t>Tanah Lapangan Balap Motor</t>
  </si>
  <si>
    <t>Tanah Lapangan Renang</t>
  </si>
  <si>
    <t>Tanah Lapangan Futsal</t>
  </si>
  <si>
    <t>Tanah Lapangan Senam</t>
  </si>
  <si>
    <t>Tanah Lapangan Bela  Diri</t>
  </si>
  <si>
    <t>Tanah Lapangan Polo Air</t>
  </si>
  <si>
    <t>Tanah Lapangan Hokki</t>
  </si>
  <si>
    <t>Tanah Lapangan Tembak</t>
  </si>
  <si>
    <t>Tanah Lapangan Halang Rintang</t>
  </si>
  <si>
    <t>Tanah Lapangan Tembak Senjata Berat</t>
  </si>
  <si>
    <t>Tanah Lapangan Tembak Darat ke Udara</t>
  </si>
  <si>
    <t>TANAH LAPANGAN PARKIR</t>
  </si>
  <si>
    <t>Tanah Lapangan Parkir Konstruksi Beton</t>
  </si>
  <si>
    <t>Tanah Lapangan Parkir Konstruksi Aspal</t>
  </si>
  <si>
    <t>Tanah Lapangan Parkir Sirtu (Pasir Batu)</t>
  </si>
  <si>
    <t>Tanah Lapangan Parkir Konblok</t>
  </si>
  <si>
    <t>Tanah Lapangan Parkir Tanah Keras</t>
  </si>
  <si>
    <t>Tanah Lapangan Apel/Upacara</t>
  </si>
  <si>
    <t>TANAH LAPANGAN PENIMBUNAN BARANG</t>
  </si>
  <si>
    <t>Tanah Lapangan Penimbunan Barang Belum Diolah</t>
  </si>
  <si>
    <t>Tanah Lapangan Penimbunan Barang Jadi</t>
  </si>
  <si>
    <t>Tanah Lapangan Penimbunan Pembuangan Sampah</t>
  </si>
  <si>
    <t>Tanah Lapangan Penimbunan Bahan Bangunan</t>
  </si>
  <si>
    <t>Tanah Lapangan Penimbunan Barang Bukti</t>
  </si>
  <si>
    <t>Tanah Lapangan Penimbunan Barang Lainnya</t>
  </si>
  <si>
    <t>Tanah Lapangan Penimbunan Barang Konstruksi Beton</t>
  </si>
  <si>
    <t>Tanah Lapangan Penimbunan Barang Konstruksi Aspal</t>
  </si>
  <si>
    <t>Tanah Lapangan Penimbunan Barang Konstruksi Tanah</t>
  </si>
  <si>
    <t>TANAH LAPANGAN PEMANCAR DAN STUDIO ALAM</t>
  </si>
  <si>
    <t>Tanah Lapangan Pemancar TV/Radio/Radar</t>
  </si>
  <si>
    <t>Tanah Lapangan Studio Alam</t>
  </si>
  <si>
    <t>Tanah Lapangan Pemancar Lainnya</t>
  </si>
  <si>
    <t>TANAH LAPANGAN PENGUJIAN/PENGOLAHAN</t>
  </si>
  <si>
    <t>Tanah Lapangan Pengujian Kendaraan Bermotor</t>
  </si>
  <si>
    <t>Tanah Lapangan Pengolahan Bahan Bangunan</t>
  </si>
  <si>
    <t>Tanah Lapangan Pengujian Lainnya</t>
  </si>
  <si>
    <t>TANAH LAPANGAN TERBANG</t>
  </si>
  <si>
    <t>Tanah Lapangan Terbang Perintis</t>
  </si>
  <si>
    <t>Tanah Lapangan Terbang Komersial</t>
  </si>
  <si>
    <t>Tanah Lapangan Terbang Khusus/Militer</t>
  </si>
  <si>
    <t>Tanah Lapangan Terbang Olah Raga</t>
  </si>
  <si>
    <t>Tanah Lapangan Terbang Pendidikan</t>
  </si>
  <si>
    <t>Tanah Lapangan Terbang Latihan Penerjunan</t>
  </si>
  <si>
    <t>Tanah Lapangan Tembak Udara (Air Weapon Range/AWR)</t>
  </si>
  <si>
    <t>Tanah Lapangan Terbang Lainnya</t>
  </si>
  <si>
    <t>TANAH UNTUK JALAN</t>
  </si>
  <si>
    <t>TANAH UNTUK BANGUNAN JALAN</t>
  </si>
  <si>
    <t>Tanah Untuk Jalan Nasional</t>
  </si>
  <si>
    <t>Tanah Untuk Jalan Propinsi</t>
  </si>
  <si>
    <t>Tanah Untuk Jalan Kabupaten</t>
  </si>
  <si>
    <t>Tanah Untuk Jalan Kotamadya</t>
  </si>
  <si>
    <t>Tanah Untuk Jalan Desa</t>
  </si>
  <si>
    <t>Tanah Untuk Jalan Tol</t>
  </si>
  <si>
    <t>Tanah Untuk Jalan Kereta Api/Lori</t>
  </si>
  <si>
    <t>Tanah Untuk Jalan Landasan Pacu Pesawat Terbang</t>
  </si>
  <si>
    <t>Tanah Untuk Jalan Khusus/Komplek</t>
  </si>
  <si>
    <t>Tanah Untuk Jembatan</t>
  </si>
  <si>
    <t>TANAH UNTUK BANGUNAN AIR</t>
  </si>
  <si>
    <t>Tanah Untuk Bangunan Air Irigasi</t>
  </si>
  <si>
    <t>Tanah Untuk Bangunan Pengairan Pasang Surut</t>
  </si>
  <si>
    <t>Tanah Untuk Bangunan Pengembangan Rawa Dan Polder</t>
  </si>
  <si>
    <t>Tanah Untuk Bangunan Pengaman Sungai Dan Penanggulangan Bencana Alam</t>
  </si>
  <si>
    <t>Tanah Untuk Bangunan Pengembangan Sumber Air Dan Air Tanah</t>
  </si>
  <si>
    <t>Tanah Untuk Bangunan Air Bersih/Air Baku</t>
  </si>
  <si>
    <t>Tanah Untuk Bangunan Air Kotor</t>
  </si>
  <si>
    <t>Tanah Untuk Bangunan Hatchery</t>
  </si>
  <si>
    <t>TANAH UNTUK BANGUNAN INSTALASI</t>
  </si>
  <si>
    <t>Tanah Untuk Bangunan Instalasi</t>
  </si>
  <si>
    <t>Tanah Untuk Bangunan Instalasi Air Bersih/Air Baku</t>
  </si>
  <si>
    <t>Tanah Untuk Bangunan Instalasi Air Bersih/air Baku</t>
  </si>
  <si>
    <t>Tanah Untuk Bangunan Instalasi Air Kotor/Air Limbah</t>
  </si>
  <si>
    <t>Tanah Untuk Bangunan Instalasi Air Kotor/air Limbah</t>
  </si>
  <si>
    <t>Tanah Untuk Bangunan Instalasi Pengolahan Sampah</t>
  </si>
  <si>
    <t>Tanah Untuk Bangunan Instalasi Pengolahan Bahan Bangunan</t>
  </si>
  <si>
    <t>Tanah Untuk Bangunan Instalasi Listrik</t>
  </si>
  <si>
    <t>Tanah Untuk Bangunan Instalasi Gardu Listrik</t>
  </si>
  <si>
    <t>Tanah Untuk Bangunan Instalasi Pengolahan Limbah</t>
  </si>
  <si>
    <t>Tanah Untuk Bangunan Pengolahan Limbah</t>
  </si>
  <si>
    <t>Tanah Untuk Bangunan Instalasi Pertahanan</t>
  </si>
  <si>
    <t>TANAH UNTUK BANGUNAN JARINGAN</t>
  </si>
  <si>
    <t>Tanah Untuk Bangunan Jaringan Air Bersih/Air Baku</t>
  </si>
  <si>
    <t>Tanah Untuk Bangunan Jaringan Komunikasi</t>
  </si>
  <si>
    <t>Tanah Untuk Bangunan Jaringan Listrik</t>
  </si>
  <si>
    <t>Tanah Untuk Bangunan Jaringan Gas/BBM</t>
  </si>
  <si>
    <t>TANAH UNTUK BANGUNAN BERSEJARAH</t>
  </si>
  <si>
    <t>Tanah Untuk Monumen</t>
  </si>
  <si>
    <t>Tanah Untuk Tugu Peringatan</t>
  </si>
  <si>
    <t>Tanah Untuk Tugu Batas Wilayah</t>
  </si>
  <si>
    <t>Tanah Untuk Candi</t>
  </si>
  <si>
    <t>Tanah Untuk Bangunan Museum</t>
  </si>
  <si>
    <t>Tanah Untuk Bangunan Rumah Adat</t>
  </si>
  <si>
    <t>Tanah Untuk Bangunan Bersejarah</t>
  </si>
  <si>
    <t>TANAH UNTUK MAKAM</t>
  </si>
  <si>
    <t>Kuburan</t>
  </si>
  <si>
    <t>A</t>
  </si>
  <si>
    <t>Tanah Untuk Makam Pahlawan</t>
  </si>
  <si>
    <t>Makam Pahlawan</t>
  </si>
  <si>
    <t>Tanah Untuk Makam Muslim</t>
  </si>
  <si>
    <t>Islam</t>
  </si>
  <si>
    <t>Tanah Untuk Makam Kristen</t>
  </si>
  <si>
    <t>Kristen</t>
  </si>
  <si>
    <t>Tanah Untuk Makam Hindu/Budha/China</t>
  </si>
  <si>
    <t>Cina</t>
  </si>
  <si>
    <t>Hindu</t>
  </si>
  <si>
    <t>Budha</t>
  </si>
  <si>
    <t>Tanah Untuk Makam Umum</t>
  </si>
  <si>
    <t>Makam Umum/Kuburan Umum</t>
  </si>
  <si>
    <t>Tanah Untuk Makam Bersejarah</t>
  </si>
  <si>
    <t>Tempat Benda Bersejarah</t>
  </si>
  <si>
    <t>TANAH UNTUK TAMAN</t>
  </si>
  <si>
    <t>Tanah Lapangan Taman Peralatan Perambuan Pantai</t>
  </si>
  <si>
    <t>Tanah Lapangan Taman Peralatan Meteo dan Geofisika</t>
  </si>
  <si>
    <t>TANAH UNTUK LATIHAN</t>
  </si>
  <si>
    <t>Tanah Untuk Latihan Tempur</t>
  </si>
  <si>
    <t>TANAH DAERAH PERTAHANAN</t>
  </si>
  <si>
    <t>Tanah Untuk Pertahanan Pantai</t>
  </si>
  <si>
    <t>Tanah Untuk Benteng Pertahanan</t>
  </si>
  <si>
    <t>Tanah Daerah Pertahanan Pos PAMTAS</t>
  </si>
  <si>
    <t>TANAH LAPANGAN PBB</t>
  </si>
  <si>
    <t>Tanah Lapangan Untuk Parade / Devile</t>
  </si>
  <si>
    <t>TANAH KAMPUNG</t>
  </si>
  <si>
    <t>Kampung</t>
  </si>
  <si>
    <t>Tanah Kampung</t>
  </si>
  <si>
    <t>EMPLASMENT</t>
  </si>
  <si>
    <t>Emplasmen</t>
  </si>
  <si>
    <t>Emplasment</t>
  </si>
  <si>
    <t>LAPANGAN LAINNYA</t>
  </si>
  <si>
    <t>....</t>
  </si>
  <si>
    <t>1.1.11.1.0</t>
  </si>
  <si>
    <t>1.1.11.1.1</t>
  </si>
  <si>
    <t>1.1.11.1.2</t>
  </si>
  <si>
    <t>1.1.11.1.3</t>
  </si>
  <si>
    <t>1.1.11.1.4</t>
  </si>
  <si>
    <t>1.1.11.1.5</t>
  </si>
  <si>
    <t>1.1.11.1.6</t>
  </si>
  <si>
    <t>1.1.11.1.7</t>
  </si>
  <si>
    <t>1.1.11.1.8</t>
  </si>
  <si>
    <t>1.1.11.1.9</t>
  </si>
  <si>
    <t>1.1.11.1.10</t>
  </si>
  <si>
    <t>1.1.11.1.11</t>
  </si>
  <si>
    <t>1.1.11.2.0</t>
  </si>
  <si>
    <t>1.1.11.2.1</t>
  </si>
  <si>
    <t>1.1.11.2.2</t>
  </si>
  <si>
    <t>1.1.11.2.3</t>
  </si>
  <si>
    <t>1.1.11.2.4</t>
  </si>
  <si>
    <t>1.1.11.2.5</t>
  </si>
  <si>
    <t>1.1.11.2.6</t>
  </si>
  <si>
    <t>1.1.11.2.7</t>
  </si>
  <si>
    <t>1.1.11.2.8</t>
  </si>
  <si>
    <t>1.1.11.2.9</t>
  </si>
  <si>
    <t>1.1.11.2.10</t>
  </si>
  <si>
    <t>1.1.11.2.11</t>
  </si>
  <si>
    <t>1.1.11.2.12</t>
  </si>
  <si>
    <t>1.1.11.2.13</t>
  </si>
  <si>
    <t>1.1.11.2.14</t>
  </si>
  <si>
    <t>1.1.11.2.15</t>
  </si>
  <si>
    <t>1.1.11.3.0</t>
  </si>
  <si>
    <t>1.1.11.3.1</t>
  </si>
  <si>
    <t>1.1.11.3.2</t>
  </si>
  <si>
    <t>1.1.11.3.3</t>
  </si>
  <si>
    <t>1.1.11.3.4</t>
  </si>
  <si>
    <t>1.1.11.3.5</t>
  </si>
  <si>
    <t>1.1.11.3.6</t>
  </si>
  <si>
    <t>1.1.11.3.7</t>
  </si>
  <si>
    <t>1.1.11.3.8</t>
  </si>
  <si>
    <t>1.1.11.3.9</t>
  </si>
  <si>
    <t>1.1.11.3.15</t>
  </si>
  <si>
    <t>1.1.11.3.10</t>
  </si>
  <si>
    <t>1.1.11.3.11</t>
  </si>
  <si>
    <t>1.1.11.3.12</t>
  </si>
  <si>
    <t>1.1.11.3.13</t>
  </si>
  <si>
    <t>1.1.11.3.14</t>
  </si>
  <si>
    <t>1.1.11.3.16</t>
  </si>
  <si>
    <t>1.1.11.3.17</t>
  </si>
  <si>
    <t>1.1.11.3.19</t>
  </si>
  <si>
    <t>1.1.11.3.20</t>
  </si>
  <si>
    <t>1.1.11.3.21</t>
  </si>
  <si>
    <t>1.1.11.3.22</t>
  </si>
  <si>
    <t>1.1.11.3.23</t>
  </si>
  <si>
    <t>1.1.11.3.24</t>
  </si>
  <si>
    <t>1.1.11.3.25</t>
  </si>
  <si>
    <t>1.1.11.4.0</t>
  </si>
  <si>
    <t>1.1.11.4.1</t>
  </si>
  <si>
    <t>1.1.11.4.2</t>
  </si>
  <si>
    <t>1.1.11.4.3</t>
  </si>
  <si>
    <t>1.1.11.4.10</t>
  </si>
  <si>
    <t>1.1.11.4.11</t>
  </si>
  <si>
    <t>1.1.11.4.12</t>
  </si>
  <si>
    <t>1.1.11.4.13</t>
  </si>
  <si>
    <t>1.1.11.4.14</t>
  </si>
  <si>
    <t>1.1.11.4.15</t>
  </si>
  <si>
    <t>1.1.11.4.16</t>
  </si>
  <si>
    <t>1.1.11.4.17</t>
  </si>
  <si>
    <t>1.1.11.4.18</t>
  </si>
  <si>
    <t>1.1.11.4.19</t>
  </si>
  <si>
    <t>1.1.11.4.20</t>
  </si>
  <si>
    <t>1.1.11.4.21</t>
  </si>
  <si>
    <t>1.1.11.4.22</t>
  </si>
  <si>
    <t>1.1.11.4.23</t>
  </si>
  <si>
    <t>1.1.11.4.24</t>
  </si>
  <si>
    <t>1.1.11.4.7</t>
  </si>
  <si>
    <t>1.1.11.4.6</t>
  </si>
  <si>
    <t>1.1.11.4.25</t>
  </si>
  <si>
    <t>1.1.11.4.26</t>
  </si>
  <si>
    <t>1.1.13.12.0</t>
  </si>
  <si>
    <t>1.1.13.12.1</t>
  </si>
  <si>
    <t>1.1.13.12.2</t>
  </si>
  <si>
    <t>1.1.13.12.3</t>
  </si>
  <si>
    <t>1.1.13.12.4</t>
  </si>
  <si>
    <t>1.1.13.13.0</t>
  </si>
  <si>
    <t>1.1.13.13.1</t>
  </si>
  <si>
    <t>1.1.13.13.2</t>
  </si>
  <si>
    <t>1.1.13.13.3</t>
  </si>
  <si>
    <t>1.1.13.13.4</t>
  </si>
  <si>
    <t>1.1.13.13.5</t>
  </si>
  <si>
    <t>1.1.13.13.6</t>
  </si>
  <si>
    <t>1.1.13.13.7</t>
  </si>
  <si>
    <t>1.1.7.0.0</t>
  </si>
  <si>
    <t>1.1.7.1.0</t>
  </si>
  <si>
    <t>1.1.7.1.1</t>
  </si>
  <si>
    <t>1.1.7.1.2</t>
  </si>
  <si>
    <t>1.1.7.2.0</t>
  </si>
  <si>
    <t>1.1.7.2.1</t>
  </si>
  <si>
    <t>1.1.6.0.0</t>
  </si>
  <si>
    <t>1.1.6.1.0</t>
  </si>
  <si>
    <t>1.1.6.1.1</t>
  </si>
  <si>
    <t>1.1.6.1.2</t>
  </si>
  <si>
    <t>1.1.6.2.0</t>
  </si>
  <si>
    <t>1.1.6.2.1</t>
  </si>
  <si>
    <t>1.1.6.2.2</t>
  </si>
  <si>
    <t>1.1.7.2.2</t>
  </si>
  <si>
    <t>1.1.7.2.3</t>
  </si>
  <si>
    <t>1.1.3.0.0</t>
  </si>
  <si>
    <t>1.1.3.1.0</t>
  </si>
  <si>
    <t>1.1.3.1.1</t>
  </si>
  <si>
    <t>1.1.3.1.2</t>
  </si>
  <si>
    <t>1.1.3.1.3</t>
  </si>
  <si>
    <t>1.1.3.1.4</t>
  </si>
  <si>
    <t>1.1.3.1.5</t>
  </si>
  <si>
    <t>1.1.3.1.6</t>
  </si>
  <si>
    <t>1.1.3.1.7</t>
  </si>
  <si>
    <t>1.1.3.1.8</t>
  </si>
  <si>
    <t>1.1.3.1.9</t>
  </si>
  <si>
    <t>1.1.3.1.10</t>
  </si>
  <si>
    <t>1.1.3.1.11</t>
  </si>
  <si>
    <t>1.1.3.1.12</t>
  </si>
  <si>
    <t>1.1.3.1.13</t>
  </si>
  <si>
    <t>1.1.3.1.14</t>
  </si>
  <si>
    <t>1.1.3.1.15</t>
  </si>
  <si>
    <t>1.1.3.1.16</t>
  </si>
  <si>
    <t>1.1.3.1.17</t>
  </si>
  <si>
    <t>1.1.3.1.18</t>
  </si>
  <si>
    <t>1.1.3.1.19</t>
  </si>
  <si>
    <t>1.1.5.0.0</t>
  </si>
  <si>
    <t>1.1.5.1.0</t>
  </si>
  <si>
    <t>1.1.5.1.1</t>
  </si>
  <si>
    <t>1.1.5.1.2</t>
  </si>
  <si>
    <t>1.1.5.1.3</t>
  </si>
  <si>
    <t>1.1.5.1.4</t>
  </si>
  <si>
    <t>1.1.5.1.5</t>
  </si>
  <si>
    <t>1.1.5.1.6</t>
  </si>
  <si>
    <t>1.1.5.1.7</t>
  </si>
  <si>
    <t>1.1.5.1.8</t>
  </si>
  <si>
    <t>1.1.5.1.9</t>
  </si>
  <si>
    <t>1.1.5.1.10</t>
  </si>
  <si>
    <t>1.1.5.1.11</t>
  </si>
  <si>
    <t>1.1.5.2.0</t>
  </si>
  <si>
    <t>1.1.5.2.1</t>
  </si>
  <si>
    <t>1.1.5.2.2</t>
  </si>
  <si>
    <t>1.1.5.2.3</t>
  </si>
  <si>
    <t>1.1.5.3.0</t>
  </si>
  <si>
    <t>1.1.5.3.1</t>
  </si>
  <si>
    <t>1.1.5.3.2</t>
  </si>
  <si>
    <t>1.1.5.3.3</t>
  </si>
  <si>
    <t>1.1.5.3.4</t>
  </si>
  <si>
    <t>1.1.5.4.0</t>
  </si>
  <si>
    <t>1.1.5.4.1</t>
  </si>
  <si>
    <t>1.1.5.4.2</t>
  </si>
  <si>
    <t>1.1.5.4.3</t>
  </si>
  <si>
    <t>1.1.5.4.4</t>
  </si>
  <si>
    <t>1.1.5.4.5</t>
  </si>
  <si>
    <t>1.1.5.4.6</t>
  </si>
  <si>
    <t>1.1.5.4.7</t>
  </si>
  <si>
    <t>1.1.5.5.1</t>
  </si>
  <si>
    <t>1.1.5.5.2</t>
  </si>
  <si>
    <t>1.1.5.5.3</t>
  </si>
  <si>
    <t>1.1.5.5.4</t>
  </si>
  <si>
    <t>1.1.5.5.5</t>
  </si>
  <si>
    <t>1.1.5.5.6</t>
  </si>
  <si>
    <t>1.1.5.5.7</t>
  </si>
  <si>
    <t>1.1.5.5.8</t>
  </si>
  <si>
    <t>1.1.5.5.9</t>
  </si>
  <si>
    <t>1.1.8.0.0</t>
  </si>
  <si>
    <t>1.1.8.1.0</t>
  </si>
  <si>
    <t>1.1.8.1.1</t>
  </si>
  <si>
    <t>1.1.8.2.2</t>
  </si>
  <si>
    <t>1.1.8.1.4</t>
  </si>
  <si>
    <t>1.1.8.1.5</t>
  </si>
  <si>
    <t>1.1.8.1.6</t>
  </si>
  <si>
    <t>1.1.9.0.0</t>
  </si>
  <si>
    <t>1.1.9.1.0</t>
  </si>
  <si>
    <t>1.1.9.1.1</t>
  </si>
  <si>
    <t>1.1.9.1.2</t>
  </si>
  <si>
    <t>1.1.9.2.0</t>
  </si>
  <si>
    <t>1.1.9.2.1</t>
  </si>
  <si>
    <t>1.1.9.2.2</t>
  </si>
  <si>
    <t>1.1.9.2.3</t>
  </si>
  <si>
    <t>1.1.2.0.0</t>
  </si>
  <si>
    <t>1.1.2.1.0</t>
  </si>
  <si>
    <t>1.1.2.1.1</t>
  </si>
  <si>
    <t>1.1.2.1.2</t>
  </si>
  <si>
    <t>1.1.2.1.3</t>
  </si>
  <si>
    <t>1.1.2.1.4</t>
  </si>
  <si>
    <t>1.1.2.1.5</t>
  </si>
  <si>
    <t>1.1.2.1.6</t>
  </si>
  <si>
    <t>1.1.2.1.7</t>
  </si>
  <si>
    <t>1.1.2.2.0</t>
  </si>
  <si>
    <t>1.1.2.2.1</t>
  </si>
  <si>
    <t>1.1.2.2.2</t>
  </si>
  <si>
    <t>1.1.2.2.3</t>
  </si>
  <si>
    <t>1.1.2.2.4</t>
  </si>
  <si>
    <t>1.1.2.2.5</t>
  </si>
  <si>
    <t>1.1.2.2.6</t>
  </si>
  <si>
    <t>1.1.2.2.7</t>
  </si>
  <si>
    <t>1.1.2.2.8</t>
  </si>
  <si>
    <t>1.1.2.2.9</t>
  </si>
  <si>
    <t>1.1.2.2.10</t>
  </si>
  <si>
    <t>1.1.2.3.0</t>
  </si>
  <si>
    <t>1.1.2.3.1</t>
  </si>
  <si>
    <t>1.1.2.3.2</t>
  </si>
  <si>
    <t>1.1.2.3.3</t>
  </si>
  <si>
    <t>1.1.2.3.4</t>
  </si>
  <si>
    <t>1.1.2.3.5</t>
  </si>
  <si>
    <t>1.1.2.3.6</t>
  </si>
  <si>
    <t>1.1.2.3.7</t>
  </si>
  <si>
    <t>1.1.2.3.8</t>
  </si>
  <si>
    <t>1.1.2.3.9</t>
  </si>
  <si>
    <t>1.1.2.3.10</t>
  </si>
  <si>
    <t>1.1.2.3.11</t>
  </si>
  <si>
    <t>1.1.2.3.12</t>
  </si>
  <si>
    <t>1.1.2.3.13</t>
  </si>
  <si>
    <t>1.1.12.0.0</t>
  </si>
  <si>
    <t>1.1.12.1.0</t>
  </si>
  <si>
    <t>1.1.12.1.1</t>
  </si>
  <si>
    <t>1.1.12.1.2</t>
  </si>
  <si>
    <t>1.1.12.1.3</t>
  </si>
  <si>
    <t>1.1.12.1.4</t>
  </si>
  <si>
    <t>1.1.12.1.5</t>
  </si>
  <si>
    <t>1.1.12.1.6</t>
  </si>
  <si>
    <t>1.1.12.1.7</t>
  </si>
  <si>
    <t>1.1.12.1.8</t>
  </si>
  <si>
    <t>1.1.12.1.9</t>
  </si>
  <si>
    <t>1.1.12.1.10</t>
  </si>
  <si>
    <t>1.1.12.1.11</t>
  </si>
  <si>
    <t>1.1.12.1.12</t>
  </si>
  <si>
    <t>1.1.12.1.13</t>
  </si>
  <si>
    <t>1.1.13.0.0</t>
  </si>
  <si>
    <t>1.1.13.1.0</t>
  </si>
  <si>
    <t>1.1.13.1.1</t>
  </si>
  <si>
    <t>1.1.13.1.2</t>
  </si>
  <si>
    <t>1.1.13.1.3</t>
  </si>
  <si>
    <t>1.1.13.1.4</t>
  </si>
  <si>
    <t>1.1.13.1.5</t>
  </si>
  <si>
    <t>1.1.13.1.6</t>
  </si>
  <si>
    <t>1.1.13.1.7</t>
  </si>
  <si>
    <t>1.1.13.1.8</t>
  </si>
  <si>
    <t>1.1.13.1.9</t>
  </si>
  <si>
    <t>1.1.13.1.10</t>
  </si>
  <si>
    <t>1.1.13.1.11</t>
  </si>
  <si>
    <t>1.1.13.1.12</t>
  </si>
  <si>
    <t>1.1.13.2.0</t>
  </si>
  <si>
    <t>1.1.13.2.1</t>
  </si>
  <si>
    <t>1.1.13.2.2</t>
  </si>
  <si>
    <t>1.1.13.2.3</t>
  </si>
  <si>
    <t>1.1.13.2.4</t>
  </si>
  <si>
    <t>1.1.13.2.5</t>
  </si>
  <si>
    <t>1.1.13.2.6</t>
  </si>
  <si>
    <t>1.1.13.3.0</t>
  </si>
  <si>
    <t>1.1.13.3.1</t>
  </si>
  <si>
    <t>1.1.13.3.2</t>
  </si>
  <si>
    <t>1.1.13.3.3</t>
  </si>
  <si>
    <t>1.1.13.3.4</t>
  </si>
  <si>
    <t>1.1.13.3.5</t>
  </si>
  <si>
    <t>1.1.13.3.6</t>
  </si>
  <si>
    <t>1.1.13.4.0</t>
  </si>
  <si>
    <t>1.1.13.4.1</t>
  </si>
  <si>
    <t>1.1.13.4.2</t>
  </si>
  <si>
    <t>1.1.13.4.3</t>
  </si>
  <si>
    <t>1.1.13.4.4</t>
  </si>
  <si>
    <t>1.1.13.5.0</t>
  </si>
  <si>
    <t>1.1.13.5.1</t>
  </si>
  <si>
    <t>1.1.13.5.2</t>
  </si>
  <si>
    <t>1.1.13.5.3</t>
  </si>
  <si>
    <t>1.1.13.5.4</t>
  </si>
  <si>
    <t>1.1.13.6.0</t>
  </si>
  <si>
    <t>1.1.13.6.1</t>
  </si>
  <si>
    <t>1.1.13.6.2</t>
  </si>
  <si>
    <t>1.1.13.6.3</t>
  </si>
  <si>
    <t>1.1.13.6.4</t>
  </si>
  <si>
    <t>1.1.13.6.5</t>
  </si>
  <si>
    <t>1.1.13.6.6</t>
  </si>
  <si>
    <t>1.1.13.6.7</t>
  </si>
  <si>
    <t>1.1.13.7.0</t>
  </si>
  <si>
    <t>1.1.13.7.1</t>
  </si>
  <si>
    <t>1.1.13.7.2</t>
  </si>
  <si>
    <t>1.1.13.7.3</t>
  </si>
  <si>
    <t>1.1.13.7.4</t>
  </si>
  <si>
    <t>1.1.13.7.5</t>
  </si>
  <si>
    <t>1.1.13.7.6</t>
  </si>
  <si>
    <t>1.1.13.7.7</t>
  </si>
  <si>
    <t>1.1.13.7.8</t>
  </si>
  <si>
    <t>1.1.13.7.9</t>
  </si>
  <si>
    <t>1.1.13.7.10</t>
  </si>
  <si>
    <t>1.1.13.8.0</t>
  </si>
  <si>
    <t>1.1.13.8.1</t>
  </si>
  <si>
    <t>1.1.13.8.2</t>
  </si>
  <si>
    <t>1.1.13.8.3</t>
  </si>
  <si>
    <t>1.1.13.8.4</t>
  </si>
  <si>
    <t>1.1.13.8.5</t>
  </si>
  <si>
    <t>1.1.13.8.6</t>
  </si>
  <si>
    <t>1.1.13.8.7</t>
  </si>
  <si>
    <t>1.1.13.8.8</t>
  </si>
  <si>
    <t>1.1.13.9.0</t>
  </si>
  <si>
    <t>1.1.13.9.1</t>
  </si>
  <si>
    <t>1.1.13.9.2</t>
  </si>
  <si>
    <t>1.1.13.9.3</t>
  </si>
  <si>
    <t>1.1.13.9.4</t>
  </si>
  <si>
    <t>1.1.13.9.5</t>
  </si>
  <si>
    <t>1.1.13.9.6</t>
  </si>
  <si>
    <t>1.1.13.9.7</t>
  </si>
  <si>
    <t>1.1.13.9.8</t>
  </si>
  <si>
    <t>1.1.13.10.0</t>
  </si>
  <si>
    <t>1.1.13.10.1</t>
  </si>
  <si>
    <t>1.1.13.10.2</t>
  </si>
  <si>
    <t>1.1.13.10.3</t>
  </si>
  <si>
    <t>1.1.13.10.4</t>
  </si>
  <si>
    <t>1.1.13.10.5</t>
  </si>
  <si>
    <t>1.1.13.11.0</t>
  </si>
  <si>
    <t>1.1.13.11.1</t>
  </si>
  <si>
    <t>1.1.13.11.2</t>
  </si>
  <si>
    <t>1.1.13.11.3</t>
  </si>
  <si>
    <t>1.1.13.11.4</t>
  </si>
  <si>
    <t>1.1.13.11.5</t>
  </si>
  <si>
    <t>1.1.13.11.6</t>
  </si>
  <si>
    <t>1.1.13.11.7</t>
  </si>
  <si>
    <t>1.1.1.3.0</t>
  </si>
  <si>
    <t>1.1.1.3.6</t>
  </si>
  <si>
    <t>1.1.1.3.1</t>
  </si>
  <si>
    <t>1.1.1.3.2</t>
  </si>
  <si>
    <t>1.1.1.3.3</t>
  </si>
  <si>
    <t>1.1.1.3.4</t>
  </si>
  <si>
    <t>1.1.1.3.5</t>
  </si>
  <si>
    <t>1.1.1.3.8</t>
  </si>
  <si>
    <t>1.1.1.3.7</t>
  </si>
  <si>
    <t>1.1.1.3.9</t>
  </si>
  <si>
    <t>1.1.1.1.0</t>
  </si>
  <si>
    <t>1.1.1.1.1</t>
  </si>
  <si>
    <t>1.1.1.1.2</t>
  </si>
  <si>
    <t>1.1.1.2.0</t>
  </si>
  <si>
    <t>1.1.1.2.1</t>
  </si>
  <si>
    <t>1.1.1.2.2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</si>
</sst>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name val="Bookman Old Style"/>
      <family val="1"/>
    </font>
    <font>
      <sz val="11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b/>
      <sz val="12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0" fillId="0" borderId="9" xfId="0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3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textRotation="255"/>
    </xf>
    <xf numFmtId="0" fontId="0" fillId="0" borderId="7" xfId="0" applyBorder="1" applyAlignment="1">
      <alignment horizontal="center" vertical="center" textRotation="255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textRotation="255" wrapText="1"/>
    </xf>
    <xf numFmtId="1" fontId="4" fillId="0" borderId="9" xfId="0" applyNumberFormat="1" applyFont="1" applyBorder="1" applyAlignment="1">
      <alignment horizontal="center" vertical="center"/>
    </xf>
    <xf numFmtId="1" fontId="4" fillId="0" borderId="9" xfId="0" quotePrefix="1" applyNumberFormat="1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0" fillId="0" borderId="9" xfId="0" applyBorder="1"/>
    <xf numFmtId="0" fontId="0" fillId="0" borderId="9" xfId="0" applyBorder="1" applyAlignment="1">
      <alignment vertical="center"/>
    </xf>
    <xf numFmtId="0" fontId="0" fillId="3" borderId="0" xfId="0" applyFill="1"/>
    <xf numFmtId="0" fontId="6" fillId="0" borderId="9" xfId="0" quotePrefix="1" applyFont="1" applyBorder="1" applyAlignment="1">
      <alignment horizontal="center"/>
    </xf>
    <xf numFmtId="0" fontId="7" fillId="0" borderId="9" xfId="0" applyFont="1" applyBorder="1"/>
    <xf numFmtId="0" fontId="6" fillId="0" borderId="9" xfId="0" applyFont="1" applyBorder="1" applyAlignment="1">
      <alignment horizontal="center"/>
    </xf>
    <xf numFmtId="0" fontId="5" fillId="0" borderId="9" xfId="0" applyFont="1" applyBorder="1" applyAlignment="1">
      <alignment horizontal="left" vertical="center"/>
    </xf>
    <xf numFmtId="1" fontId="4" fillId="2" borderId="9" xfId="0" applyNumberFormat="1" applyFont="1" applyFill="1" applyBorder="1" applyAlignment="1">
      <alignment horizontal="center" vertical="center"/>
    </xf>
    <xf numFmtId="1" fontId="4" fillId="2" borderId="9" xfId="0" quotePrefix="1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left" vertical="center"/>
    </xf>
    <xf numFmtId="0" fontId="7" fillId="2" borderId="9" xfId="0" applyFont="1" applyFill="1" applyBorder="1"/>
    <xf numFmtId="0" fontId="6" fillId="2" borderId="9" xfId="0" applyFont="1" applyFill="1" applyBorder="1" applyAlignment="1">
      <alignment horizontal="center"/>
    </xf>
    <xf numFmtId="1" fontId="4" fillId="3" borderId="9" xfId="0" applyNumberFormat="1" applyFont="1" applyFill="1" applyBorder="1" applyAlignment="1">
      <alignment horizontal="center" vertical="center"/>
    </xf>
    <xf numFmtId="1" fontId="4" fillId="3" borderId="9" xfId="0" quotePrefix="1" applyNumberFormat="1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left" vertical="center"/>
    </xf>
    <xf numFmtId="0" fontId="7" fillId="3" borderId="9" xfId="0" applyFont="1" applyFill="1" applyBorder="1"/>
    <xf numFmtId="0" fontId="0" fillId="3" borderId="9" xfId="0" applyFill="1" applyBorder="1"/>
    <xf numFmtId="0" fontId="6" fillId="3" borderId="9" xfId="0" applyFont="1" applyFill="1" applyBorder="1" applyAlignment="1">
      <alignment horizontal="center"/>
    </xf>
    <xf numFmtId="0" fontId="3" fillId="3" borderId="9" xfId="0" applyFont="1" applyFill="1" applyBorder="1"/>
    <xf numFmtId="0" fontId="5" fillId="2" borderId="9" xfId="0" applyFont="1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9" xfId="0" applyFill="1" applyBorder="1"/>
    <xf numFmtId="0" fontId="7" fillId="3" borderId="9" xfId="0" quotePrefix="1" applyFont="1" applyFill="1" applyBorder="1"/>
    <xf numFmtId="0" fontId="3" fillId="3" borderId="0" xfId="0" applyFont="1" applyFill="1"/>
    <xf numFmtId="1" fontId="5" fillId="3" borderId="9" xfId="0" quotePrefix="1" applyNumberFormat="1" applyFont="1" applyFill="1" applyBorder="1" applyAlignment="1">
      <alignment horizontal="left" vertical="center"/>
    </xf>
    <xf numFmtId="1" fontId="5" fillId="0" borderId="9" xfId="0" applyNumberFormat="1" applyFont="1" applyBorder="1" applyAlignment="1">
      <alignment horizontal="left" vertical="center"/>
    </xf>
    <xf numFmtId="1" fontId="5" fillId="3" borderId="9" xfId="0" applyNumberFormat="1" applyFont="1" applyFill="1" applyBorder="1" applyAlignment="1">
      <alignment horizontal="left" vertical="center"/>
    </xf>
    <xf numFmtId="0" fontId="0" fillId="0" borderId="0" xfId="0" applyBorder="1" applyAlignment="1">
      <alignment horizontal="center" vertical="center" textRotation="255" wrapText="1"/>
    </xf>
    <xf numFmtId="0" fontId="6" fillId="0" borderId="9" xfId="0" quotePrefix="1" applyNumberFormat="1" applyFont="1" applyBorder="1" applyAlignment="1">
      <alignment horizontal="center"/>
    </xf>
    <xf numFmtId="0" fontId="6" fillId="2" borderId="9" xfId="0" quotePrefix="1" applyNumberFormat="1" applyFont="1" applyFill="1" applyBorder="1" applyAlignment="1">
      <alignment horizontal="center"/>
    </xf>
    <xf numFmtId="0" fontId="6" fillId="3" borderId="9" xfId="0" quotePrefix="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415"/>
  <sheetViews>
    <sheetView topLeftCell="B391" zoomScale="70" zoomScaleNormal="70" workbookViewId="0">
      <selection activeCell="G4" sqref="G4:N415"/>
    </sheetView>
  </sheetViews>
  <sheetFormatPr defaultRowHeight="15" x14ac:dyDescent="0.25"/>
  <cols>
    <col min="1" max="1" width="0" style="1" hidden="1" customWidth="1"/>
    <col min="2" max="2" width="9.140625" style="1"/>
    <col min="3" max="3" width="11" style="1" bestFit="1" customWidth="1"/>
    <col min="4" max="5" width="9.140625" style="1"/>
    <col min="14" max="14" width="71.85546875" customWidth="1"/>
    <col min="24" max="24" width="76.85546875" customWidth="1"/>
  </cols>
  <sheetData>
    <row r="2" spans="1:26" ht="15" customHeight="1" x14ac:dyDescent="0.25">
      <c r="G2" s="44" t="s">
        <v>0</v>
      </c>
      <c r="H2" s="45"/>
      <c r="I2" s="45"/>
      <c r="J2" s="45"/>
      <c r="K2" s="45"/>
      <c r="L2" s="45"/>
      <c r="M2" s="45"/>
      <c r="N2" s="46"/>
      <c r="S2" s="50" t="s">
        <v>1</v>
      </c>
      <c r="T2" s="45"/>
      <c r="U2" s="45"/>
      <c r="V2" s="45"/>
      <c r="W2" s="45"/>
      <c r="X2" s="45"/>
      <c r="Y2" s="45"/>
      <c r="Z2" s="46"/>
    </row>
    <row r="3" spans="1:26" ht="15" customHeight="1" x14ac:dyDescent="0.25">
      <c r="G3" s="47"/>
      <c r="H3" s="48"/>
      <c r="I3" s="48"/>
      <c r="J3" s="48"/>
      <c r="K3" s="48"/>
      <c r="L3" s="48"/>
      <c r="M3" s="48"/>
      <c r="N3" s="49"/>
      <c r="S3" s="51"/>
      <c r="T3" s="52"/>
      <c r="U3" s="52"/>
      <c r="V3" s="52"/>
      <c r="W3" s="52"/>
      <c r="X3" s="52"/>
      <c r="Y3" s="52"/>
      <c r="Z3" s="53"/>
    </row>
    <row r="4" spans="1:26" ht="269.25" x14ac:dyDescent="0.25">
      <c r="F4" t="s">
        <v>2</v>
      </c>
      <c r="G4" s="2" t="s">
        <v>3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8</v>
      </c>
      <c r="M4" s="3" t="s">
        <v>9</v>
      </c>
      <c r="N4" s="4" t="s">
        <v>10</v>
      </c>
      <c r="O4" s="5" t="s">
        <v>11</v>
      </c>
      <c r="P4" s="6"/>
      <c r="Q4" s="6"/>
      <c r="R4" s="6" t="s">
        <v>2</v>
      </c>
      <c r="S4" s="47"/>
      <c r="T4" s="48"/>
      <c r="U4" s="48"/>
      <c r="V4" s="48"/>
      <c r="W4" s="48"/>
      <c r="X4" s="48"/>
      <c r="Y4" s="48"/>
      <c r="Z4" s="49"/>
    </row>
    <row r="5" spans="1:26" ht="31.5" x14ac:dyDescent="0.25">
      <c r="F5" s="7">
        <v>1</v>
      </c>
      <c r="G5" s="8">
        <v>2</v>
      </c>
      <c r="H5" s="7">
        <v>3</v>
      </c>
      <c r="I5" s="8">
        <v>4</v>
      </c>
      <c r="J5" s="7">
        <v>5</v>
      </c>
      <c r="K5" s="8">
        <v>6</v>
      </c>
      <c r="L5" s="7">
        <v>7</v>
      </c>
      <c r="M5" s="8">
        <v>8</v>
      </c>
      <c r="N5" s="7">
        <v>9</v>
      </c>
      <c r="O5" s="8">
        <v>10</v>
      </c>
      <c r="P5" s="40"/>
      <c r="Q5" s="40"/>
      <c r="R5" s="7">
        <v>11</v>
      </c>
      <c r="S5" s="8">
        <v>12</v>
      </c>
      <c r="T5" s="7">
        <v>13</v>
      </c>
      <c r="U5" s="8">
        <v>14</v>
      </c>
      <c r="V5" s="7">
        <v>15</v>
      </c>
      <c r="W5" s="8">
        <v>16</v>
      </c>
      <c r="X5" s="7">
        <v>17</v>
      </c>
      <c r="Y5" s="8">
        <v>18</v>
      </c>
      <c r="Z5" s="7">
        <v>19</v>
      </c>
    </row>
    <row r="6" spans="1:26" s="1" customFormat="1" x14ac:dyDescent="0.25">
      <c r="B6" t="s">
        <v>469</v>
      </c>
      <c r="C6" t="str">
        <f>S6&amp;"."&amp;T6&amp;"."&amp;U6&amp;"."&amp;V6&amp;"."&amp;W6</f>
        <v>....</v>
      </c>
      <c r="D6" t="str">
        <f t="shared" ref="D6" si="0">IF(S6&lt;&gt;"",IF(G6="","Keluar","Berubah"),"Bertambah")</f>
        <v>Bertambah</v>
      </c>
      <c r="E6" t="str">
        <f t="shared" ref="E6" si="1">G6&amp;"."&amp;H6&amp;"."&amp;I6&amp;"."&amp;J6&amp;"."&amp;K6&amp;"."&amp;L6&amp;"."&amp;M6</f>
        <v>1.3.1....</v>
      </c>
      <c r="F6">
        <v>1</v>
      </c>
      <c r="G6" s="9">
        <v>1</v>
      </c>
      <c r="H6" s="9">
        <v>3</v>
      </c>
      <c r="I6" s="9">
        <v>1</v>
      </c>
      <c r="J6" s="10"/>
      <c r="K6" s="10"/>
      <c r="L6" s="9"/>
      <c r="M6" s="10"/>
      <c r="N6" s="11" t="s">
        <v>12</v>
      </c>
      <c r="O6"/>
      <c r="P6"/>
      <c r="Q6"/>
      <c r="R6">
        <v>1</v>
      </c>
      <c r="S6" s="12"/>
      <c r="T6" s="12"/>
      <c r="U6" s="12"/>
      <c r="V6" s="12"/>
      <c r="W6" s="12"/>
      <c r="X6" s="12"/>
      <c r="Y6" s="12"/>
      <c r="Z6" s="12"/>
    </row>
    <row r="7" spans="1:26" s="14" customFormat="1" x14ac:dyDescent="0.25">
      <c r="A7" s="1"/>
      <c r="B7" t="s">
        <v>469</v>
      </c>
      <c r="C7" t="str">
        <f t="shared" ref="C7:C70" si="2">S7&amp;"."&amp;T7&amp;"."&amp;U7&amp;"."&amp;V7&amp;"."&amp;W7</f>
        <v>....</v>
      </c>
      <c r="D7" t="str">
        <f t="shared" ref="D7:D70" si="3">IF(S7&lt;&gt;"",IF(G7="","Keluar","Berubah"),"Bertambah")</f>
        <v>Bertambah</v>
      </c>
      <c r="E7" t="str">
        <f t="shared" ref="E7:E70" si="4">G7&amp;"."&amp;H7&amp;"."&amp;I7&amp;"."&amp;J7&amp;"."&amp;K7&amp;"."&amp;L7&amp;"."&amp;M7</f>
        <v>1.3.1.01...</v>
      </c>
      <c r="F7">
        <v>2</v>
      </c>
      <c r="G7" s="9">
        <v>1</v>
      </c>
      <c r="H7" s="9">
        <v>3</v>
      </c>
      <c r="I7" s="9">
        <v>1</v>
      </c>
      <c r="J7" s="10" t="s">
        <v>13</v>
      </c>
      <c r="K7" s="10"/>
      <c r="L7" s="9"/>
      <c r="M7" s="10"/>
      <c r="N7" s="11" t="s">
        <v>12</v>
      </c>
      <c r="O7"/>
      <c r="P7"/>
      <c r="Q7"/>
      <c r="R7">
        <v>2</v>
      </c>
      <c r="S7" s="13"/>
      <c r="T7" s="13"/>
      <c r="U7" s="13"/>
      <c r="V7" s="13"/>
      <c r="W7" s="13"/>
      <c r="X7" s="13"/>
      <c r="Y7" s="13"/>
      <c r="Z7" s="13"/>
    </row>
    <row r="8" spans="1:26" s="14" customFormat="1" x14ac:dyDescent="0.25">
      <c r="A8" s="1"/>
      <c r="B8" t="s">
        <v>469</v>
      </c>
      <c r="C8" t="str">
        <f t="shared" si="2"/>
        <v>....</v>
      </c>
      <c r="D8" t="str">
        <f t="shared" si="3"/>
        <v>Bertambah</v>
      </c>
      <c r="E8" t="str">
        <f t="shared" si="4"/>
        <v>1.3.1.01.01..</v>
      </c>
      <c r="F8">
        <v>3</v>
      </c>
      <c r="G8" s="9">
        <v>1</v>
      </c>
      <c r="H8" s="9">
        <v>3</v>
      </c>
      <c r="I8" s="9">
        <v>1</v>
      </c>
      <c r="J8" s="10" t="s">
        <v>13</v>
      </c>
      <c r="K8" s="10" t="s">
        <v>13</v>
      </c>
      <c r="L8" s="9"/>
      <c r="M8" s="10"/>
      <c r="N8" s="11" t="s">
        <v>14</v>
      </c>
      <c r="O8"/>
      <c r="P8"/>
      <c r="Q8"/>
      <c r="R8">
        <v>3</v>
      </c>
      <c r="S8" s="13"/>
      <c r="T8" s="13"/>
      <c r="U8" s="13"/>
      <c r="V8" s="13"/>
      <c r="W8" s="13"/>
      <c r="X8" s="13"/>
      <c r="Y8" s="13"/>
      <c r="Z8" s="13"/>
    </row>
    <row r="9" spans="1:26" s="14" customFormat="1" ht="15.75" x14ac:dyDescent="0.25">
      <c r="A9" s="1"/>
      <c r="B9" t="s">
        <v>470</v>
      </c>
      <c r="C9" t="str">
        <f t="shared" si="2"/>
        <v>1.1.11.1.0</v>
      </c>
      <c r="D9" t="str">
        <f t="shared" si="3"/>
        <v>Berubah</v>
      </c>
      <c r="E9" t="str">
        <f t="shared" si="4"/>
        <v>1.3.1.01.01.01.</v>
      </c>
      <c r="F9">
        <v>4</v>
      </c>
      <c r="G9" s="9">
        <v>1</v>
      </c>
      <c r="H9" s="9">
        <v>3</v>
      </c>
      <c r="I9" s="9">
        <v>1</v>
      </c>
      <c r="J9" s="10" t="s">
        <v>13</v>
      </c>
      <c r="K9" s="10" t="s">
        <v>13</v>
      </c>
      <c r="L9" s="9" t="s">
        <v>13</v>
      </c>
      <c r="M9" s="10"/>
      <c r="N9" s="11" t="s">
        <v>15</v>
      </c>
      <c r="O9" t="b">
        <f t="shared" ref="O9:O72" si="5">N9=X9</f>
        <v>1</v>
      </c>
      <c r="P9"/>
      <c r="Q9"/>
      <c r="R9">
        <v>4</v>
      </c>
      <c r="S9" s="41">
        <v>1</v>
      </c>
      <c r="T9" s="41">
        <v>1</v>
      </c>
      <c r="U9" s="41">
        <v>11</v>
      </c>
      <c r="V9" s="41">
        <v>1</v>
      </c>
      <c r="W9" s="41">
        <v>0</v>
      </c>
      <c r="X9" s="16" t="s">
        <v>15</v>
      </c>
      <c r="Y9" s="17" t="s">
        <v>16</v>
      </c>
      <c r="Z9" s="17">
        <v>1</v>
      </c>
    </row>
    <row r="10" spans="1:26" s="1" customFormat="1" ht="15.75" x14ac:dyDescent="0.25">
      <c r="B10" t="s">
        <v>469</v>
      </c>
      <c r="C10" t="str">
        <f t="shared" si="2"/>
        <v>....</v>
      </c>
      <c r="D10" t="str">
        <f t="shared" si="3"/>
        <v>Bertambah</v>
      </c>
      <c r="E10" t="str">
        <f t="shared" si="4"/>
        <v>......</v>
      </c>
      <c r="F10">
        <v>5</v>
      </c>
      <c r="G10" s="9"/>
      <c r="H10" s="9"/>
      <c r="I10" s="9"/>
      <c r="J10" s="10"/>
      <c r="K10" s="10"/>
      <c r="L10" s="9"/>
      <c r="M10" s="10"/>
      <c r="N10" s="11"/>
      <c r="O10" t="b">
        <f t="shared" si="5"/>
        <v>1</v>
      </c>
      <c r="P10"/>
      <c r="Q10"/>
      <c r="R10">
        <v>5</v>
      </c>
      <c r="S10" s="12"/>
      <c r="T10" s="12"/>
      <c r="U10" s="12"/>
      <c r="V10" s="12"/>
      <c r="W10" s="12"/>
      <c r="X10" s="12"/>
      <c r="Y10" s="17" t="s">
        <v>16</v>
      </c>
      <c r="Z10" s="17">
        <v>2</v>
      </c>
    </row>
    <row r="11" spans="1:26" s="14" customFormat="1" ht="15.75" x14ac:dyDescent="0.25">
      <c r="A11" s="1"/>
      <c r="B11" t="s">
        <v>471</v>
      </c>
      <c r="C11" t="str">
        <f t="shared" si="2"/>
        <v>1.1.11.1.1</v>
      </c>
      <c r="D11" t="str">
        <f t="shared" si="3"/>
        <v>Berubah</v>
      </c>
      <c r="E11" t="str">
        <f t="shared" si="4"/>
        <v>1.3.1.01.01.01.001</v>
      </c>
      <c r="F11">
        <v>6</v>
      </c>
      <c r="G11" s="9">
        <v>1</v>
      </c>
      <c r="H11" s="9">
        <v>3</v>
      </c>
      <c r="I11" s="9">
        <v>1</v>
      </c>
      <c r="J11" s="10" t="s">
        <v>13</v>
      </c>
      <c r="K11" s="10" t="s">
        <v>13</v>
      </c>
      <c r="L11" s="10" t="s">
        <v>13</v>
      </c>
      <c r="M11" s="10" t="s">
        <v>17</v>
      </c>
      <c r="N11" s="18" t="s">
        <v>18</v>
      </c>
      <c r="O11" t="b">
        <f t="shared" si="5"/>
        <v>1</v>
      </c>
      <c r="P11"/>
      <c r="Q11"/>
      <c r="R11">
        <v>6</v>
      </c>
      <c r="S11" s="41">
        <v>1</v>
      </c>
      <c r="T11" s="41">
        <v>1</v>
      </c>
      <c r="U11" s="41">
        <v>11</v>
      </c>
      <c r="V11" s="41">
        <v>1</v>
      </c>
      <c r="W11" s="41">
        <v>1</v>
      </c>
      <c r="X11" s="16" t="s">
        <v>18</v>
      </c>
      <c r="Y11" s="17" t="s">
        <v>16</v>
      </c>
      <c r="Z11" s="17">
        <v>3</v>
      </c>
    </row>
    <row r="12" spans="1:26" s="14" customFormat="1" ht="15.75" x14ac:dyDescent="0.25">
      <c r="A12" s="1"/>
      <c r="B12" t="s">
        <v>472</v>
      </c>
      <c r="C12" t="str">
        <f t="shared" si="2"/>
        <v>1.1.11.1.2</v>
      </c>
      <c r="D12" t="str">
        <f t="shared" si="3"/>
        <v>Berubah</v>
      </c>
      <c r="E12" t="str">
        <f t="shared" si="4"/>
        <v>1.3.1.01.01.01.002</v>
      </c>
      <c r="F12">
        <v>7</v>
      </c>
      <c r="G12" s="9">
        <v>1</v>
      </c>
      <c r="H12" s="9">
        <v>3</v>
      </c>
      <c r="I12" s="9">
        <v>1</v>
      </c>
      <c r="J12" s="10" t="s">
        <v>13</v>
      </c>
      <c r="K12" s="10" t="s">
        <v>13</v>
      </c>
      <c r="L12" s="10" t="s">
        <v>13</v>
      </c>
      <c r="M12" s="10" t="s">
        <v>19</v>
      </c>
      <c r="N12" s="18" t="s">
        <v>20</v>
      </c>
      <c r="O12" t="b">
        <f t="shared" si="5"/>
        <v>1</v>
      </c>
      <c r="P12"/>
      <c r="Q12"/>
      <c r="R12">
        <v>7</v>
      </c>
      <c r="S12" s="41">
        <v>1</v>
      </c>
      <c r="T12" s="41">
        <v>1</v>
      </c>
      <c r="U12" s="41">
        <v>11</v>
      </c>
      <c r="V12" s="41">
        <v>1</v>
      </c>
      <c r="W12" s="41">
        <v>2</v>
      </c>
      <c r="X12" s="16" t="s">
        <v>20</v>
      </c>
      <c r="Y12" s="17" t="s">
        <v>16</v>
      </c>
      <c r="Z12" s="17">
        <v>4</v>
      </c>
    </row>
    <row r="13" spans="1:26" s="14" customFormat="1" ht="15.75" x14ac:dyDescent="0.25">
      <c r="A13" s="1"/>
      <c r="B13" t="s">
        <v>473</v>
      </c>
      <c r="C13" t="str">
        <f t="shared" si="2"/>
        <v>1.1.11.1.3</v>
      </c>
      <c r="D13" t="str">
        <f t="shared" si="3"/>
        <v>Berubah</v>
      </c>
      <c r="E13" t="str">
        <f t="shared" si="4"/>
        <v>1.3.1.01.01.01.003</v>
      </c>
      <c r="F13">
        <v>8</v>
      </c>
      <c r="G13" s="9">
        <v>1</v>
      </c>
      <c r="H13" s="9">
        <v>3</v>
      </c>
      <c r="I13" s="9">
        <v>1</v>
      </c>
      <c r="J13" s="10" t="s">
        <v>13</v>
      </c>
      <c r="K13" s="10" t="s">
        <v>13</v>
      </c>
      <c r="L13" s="10" t="s">
        <v>13</v>
      </c>
      <c r="M13" s="10" t="s">
        <v>22</v>
      </c>
      <c r="N13" s="18" t="s">
        <v>23</v>
      </c>
      <c r="O13" t="b">
        <f t="shared" si="5"/>
        <v>1</v>
      </c>
      <c r="P13"/>
      <c r="Q13"/>
      <c r="R13">
        <v>8</v>
      </c>
      <c r="S13" s="41">
        <v>1</v>
      </c>
      <c r="T13" s="41">
        <v>1</v>
      </c>
      <c r="U13" s="41">
        <v>11</v>
      </c>
      <c r="V13" s="41">
        <v>1</v>
      </c>
      <c r="W13" s="41">
        <v>3</v>
      </c>
      <c r="X13" s="16" t="s">
        <v>23</v>
      </c>
      <c r="Y13" s="17" t="s">
        <v>16</v>
      </c>
      <c r="Z13" s="17">
        <v>5</v>
      </c>
    </row>
    <row r="14" spans="1:26" s="14" customFormat="1" ht="15.75" x14ac:dyDescent="0.25">
      <c r="A14" s="1"/>
      <c r="B14" t="s">
        <v>474</v>
      </c>
      <c r="C14" t="str">
        <f t="shared" si="2"/>
        <v>1.1.11.1.4</v>
      </c>
      <c r="D14" t="str">
        <f t="shared" si="3"/>
        <v>Berubah</v>
      </c>
      <c r="E14" t="str">
        <f t="shared" si="4"/>
        <v>1.3.1.01.01.01.004</v>
      </c>
      <c r="F14">
        <v>9</v>
      </c>
      <c r="G14" s="9">
        <v>1</v>
      </c>
      <c r="H14" s="9">
        <v>3</v>
      </c>
      <c r="I14" s="9">
        <v>1</v>
      </c>
      <c r="J14" s="10" t="s">
        <v>13</v>
      </c>
      <c r="K14" s="10" t="s">
        <v>13</v>
      </c>
      <c r="L14" s="10" t="s">
        <v>13</v>
      </c>
      <c r="M14" s="10" t="s">
        <v>25</v>
      </c>
      <c r="N14" s="18" t="s">
        <v>26</v>
      </c>
      <c r="O14" t="b">
        <f t="shared" si="5"/>
        <v>1</v>
      </c>
      <c r="P14"/>
      <c r="Q14"/>
      <c r="R14">
        <v>9</v>
      </c>
      <c r="S14" s="41">
        <v>1</v>
      </c>
      <c r="T14" s="41">
        <v>1</v>
      </c>
      <c r="U14" s="41">
        <v>11</v>
      </c>
      <c r="V14" s="41">
        <v>1</v>
      </c>
      <c r="W14" s="41">
        <v>4</v>
      </c>
      <c r="X14" s="16" t="s">
        <v>26</v>
      </c>
      <c r="Y14" s="17" t="s">
        <v>16</v>
      </c>
      <c r="Z14" s="17">
        <v>6</v>
      </c>
    </row>
    <row r="15" spans="1:26" s="14" customFormat="1" ht="15.75" x14ac:dyDescent="0.25">
      <c r="A15" s="1"/>
      <c r="B15" t="s">
        <v>475</v>
      </c>
      <c r="C15" t="str">
        <f t="shared" si="2"/>
        <v>1.1.11.1.5</v>
      </c>
      <c r="D15" t="str">
        <f t="shared" si="3"/>
        <v>Berubah</v>
      </c>
      <c r="E15" t="str">
        <f t="shared" si="4"/>
        <v>1.3.1.01.01.01.005</v>
      </c>
      <c r="F15">
        <v>10</v>
      </c>
      <c r="G15" s="9">
        <v>1</v>
      </c>
      <c r="H15" s="9">
        <v>3</v>
      </c>
      <c r="I15" s="9">
        <v>1</v>
      </c>
      <c r="J15" s="10" t="s">
        <v>13</v>
      </c>
      <c r="K15" s="10" t="s">
        <v>13</v>
      </c>
      <c r="L15" s="10" t="s">
        <v>13</v>
      </c>
      <c r="M15" s="10" t="s">
        <v>28</v>
      </c>
      <c r="N15" s="18" t="s">
        <v>29</v>
      </c>
      <c r="O15" t="b">
        <f t="shared" si="5"/>
        <v>1</v>
      </c>
      <c r="P15"/>
      <c r="Q15"/>
      <c r="R15">
        <v>10</v>
      </c>
      <c r="S15" s="41">
        <v>1</v>
      </c>
      <c r="T15" s="41">
        <v>1</v>
      </c>
      <c r="U15" s="41">
        <v>11</v>
      </c>
      <c r="V15" s="41">
        <v>1</v>
      </c>
      <c r="W15" s="41">
        <v>5</v>
      </c>
      <c r="X15" s="16" t="s">
        <v>29</v>
      </c>
      <c r="Y15" s="17" t="s">
        <v>16</v>
      </c>
      <c r="Z15" s="17">
        <v>7</v>
      </c>
    </row>
    <row r="16" spans="1:26" s="14" customFormat="1" ht="15.75" x14ac:dyDescent="0.25">
      <c r="A16" s="1"/>
      <c r="B16" t="s">
        <v>476</v>
      </c>
      <c r="C16" t="str">
        <f t="shared" si="2"/>
        <v>1.1.11.1.6</v>
      </c>
      <c r="D16" t="str">
        <f t="shared" si="3"/>
        <v>Berubah</v>
      </c>
      <c r="E16" t="str">
        <f t="shared" si="4"/>
        <v>1.3.1.01.01.01.006</v>
      </c>
      <c r="F16">
        <v>11</v>
      </c>
      <c r="G16" s="9">
        <v>1</v>
      </c>
      <c r="H16" s="9">
        <v>3</v>
      </c>
      <c r="I16" s="9">
        <v>1</v>
      </c>
      <c r="J16" s="10" t="s">
        <v>13</v>
      </c>
      <c r="K16" s="10" t="s">
        <v>13</v>
      </c>
      <c r="L16" s="10" t="s">
        <v>13</v>
      </c>
      <c r="M16" s="10" t="s">
        <v>31</v>
      </c>
      <c r="N16" s="18" t="s">
        <v>32</v>
      </c>
      <c r="O16" t="b">
        <f t="shared" si="5"/>
        <v>1</v>
      </c>
      <c r="P16"/>
      <c r="Q16"/>
      <c r="R16">
        <v>11</v>
      </c>
      <c r="S16" s="41">
        <v>1</v>
      </c>
      <c r="T16" s="41">
        <v>1</v>
      </c>
      <c r="U16" s="41">
        <v>11</v>
      </c>
      <c r="V16" s="41">
        <v>1</v>
      </c>
      <c r="W16" s="41">
        <v>6</v>
      </c>
      <c r="X16" s="16" t="s">
        <v>32</v>
      </c>
      <c r="Y16" s="17" t="s">
        <v>16</v>
      </c>
      <c r="Z16" s="17">
        <v>8</v>
      </c>
    </row>
    <row r="17" spans="1:26" s="1" customFormat="1" ht="15.75" x14ac:dyDescent="0.25">
      <c r="B17" t="s">
        <v>477</v>
      </c>
      <c r="C17" t="str">
        <f t="shared" si="2"/>
        <v>1.1.11.1.7</v>
      </c>
      <c r="D17" t="str">
        <f t="shared" si="3"/>
        <v>Berubah</v>
      </c>
      <c r="E17" t="str">
        <f t="shared" si="4"/>
        <v>1.3.1.01.01.01.007</v>
      </c>
      <c r="F17">
        <v>12</v>
      </c>
      <c r="G17" s="9">
        <v>1</v>
      </c>
      <c r="H17" s="9">
        <v>3</v>
      </c>
      <c r="I17" s="9">
        <v>1</v>
      </c>
      <c r="J17" s="10" t="s">
        <v>13</v>
      </c>
      <c r="K17" s="10" t="s">
        <v>13</v>
      </c>
      <c r="L17" s="10" t="s">
        <v>13</v>
      </c>
      <c r="M17" s="10" t="s">
        <v>34</v>
      </c>
      <c r="N17" s="18" t="s">
        <v>35</v>
      </c>
      <c r="O17" t="b">
        <f t="shared" si="5"/>
        <v>1</v>
      </c>
      <c r="P17"/>
      <c r="Q17"/>
      <c r="R17">
        <v>12</v>
      </c>
      <c r="S17" s="41">
        <v>1</v>
      </c>
      <c r="T17" s="41">
        <v>1</v>
      </c>
      <c r="U17" s="41">
        <v>11</v>
      </c>
      <c r="V17" s="41">
        <v>1</v>
      </c>
      <c r="W17" s="41">
        <v>7</v>
      </c>
      <c r="X17" s="16" t="s">
        <v>35</v>
      </c>
      <c r="Y17" s="17" t="s">
        <v>16</v>
      </c>
      <c r="Z17" s="17">
        <v>9</v>
      </c>
    </row>
    <row r="18" spans="1:26" s="14" customFormat="1" ht="15.75" x14ac:dyDescent="0.25">
      <c r="A18" s="1"/>
      <c r="B18" t="s">
        <v>478</v>
      </c>
      <c r="C18" t="str">
        <f t="shared" si="2"/>
        <v>1.1.11.1.8</v>
      </c>
      <c r="D18" t="str">
        <f t="shared" si="3"/>
        <v>Berubah</v>
      </c>
      <c r="E18" t="str">
        <f t="shared" si="4"/>
        <v>1.3.1.01.01.01.008</v>
      </c>
      <c r="F18">
        <v>13</v>
      </c>
      <c r="G18" s="9">
        <v>1</v>
      </c>
      <c r="H18" s="9">
        <v>3</v>
      </c>
      <c r="I18" s="9">
        <v>1</v>
      </c>
      <c r="J18" s="10" t="s">
        <v>13</v>
      </c>
      <c r="K18" s="10" t="s">
        <v>13</v>
      </c>
      <c r="L18" s="10" t="s">
        <v>13</v>
      </c>
      <c r="M18" s="10" t="s">
        <v>37</v>
      </c>
      <c r="N18" s="18" t="s">
        <v>38</v>
      </c>
      <c r="O18" t="b">
        <f t="shared" si="5"/>
        <v>1</v>
      </c>
      <c r="P18"/>
      <c r="Q18"/>
      <c r="R18">
        <v>13</v>
      </c>
      <c r="S18" s="41">
        <v>1</v>
      </c>
      <c r="T18" s="41">
        <v>1</v>
      </c>
      <c r="U18" s="41">
        <v>11</v>
      </c>
      <c r="V18" s="41">
        <v>1</v>
      </c>
      <c r="W18" s="41">
        <v>8</v>
      </c>
      <c r="X18" s="16" t="s">
        <v>38</v>
      </c>
      <c r="Y18" s="17" t="s">
        <v>16</v>
      </c>
      <c r="Z18" s="17">
        <v>10</v>
      </c>
    </row>
    <row r="19" spans="1:26" s="14" customFormat="1" ht="15.75" x14ac:dyDescent="0.25">
      <c r="A19" s="1"/>
      <c r="B19" t="s">
        <v>479</v>
      </c>
      <c r="C19" t="str">
        <f t="shared" si="2"/>
        <v>1.1.11.1.9</v>
      </c>
      <c r="D19" t="str">
        <f t="shared" si="3"/>
        <v>Berubah</v>
      </c>
      <c r="E19" t="str">
        <f t="shared" si="4"/>
        <v>1.3.1.01.01.01.009</v>
      </c>
      <c r="F19">
        <v>14</v>
      </c>
      <c r="G19" s="9">
        <v>1</v>
      </c>
      <c r="H19" s="9">
        <v>3</v>
      </c>
      <c r="I19" s="9">
        <v>1</v>
      </c>
      <c r="J19" s="10" t="s">
        <v>13</v>
      </c>
      <c r="K19" s="10" t="s">
        <v>13</v>
      </c>
      <c r="L19" s="10" t="s">
        <v>13</v>
      </c>
      <c r="M19" s="10" t="s">
        <v>40</v>
      </c>
      <c r="N19" s="18" t="s">
        <v>41</v>
      </c>
      <c r="O19" t="b">
        <f t="shared" si="5"/>
        <v>1</v>
      </c>
      <c r="P19"/>
      <c r="Q19"/>
      <c r="R19">
        <v>14</v>
      </c>
      <c r="S19" s="41">
        <v>1</v>
      </c>
      <c r="T19" s="41">
        <v>1</v>
      </c>
      <c r="U19" s="41">
        <v>11</v>
      </c>
      <c r="V19" s="41">
        <v>1</v>
      </c>
      <c r="W19" s="41">
        <v>9</v>
      </c>
      <c r="X19" s="16" t="s">
        <v>41</v>
      </c>
      <c r="Y19" s="17" t="s">
        <v>16</v>
      </c>
      <c r="Z19" s="17">
        <v>11</v>
      </c>
    </row>
    <row r="20" spans="1:26" s="14" customFormat="1" ht="15.75" x14ac:dyDescent="0.25">
      <c r="A20" s="1"/>
      <c r="B20" t="s">
        <v>480</v>
      </c>
      <c r="C20" t="str">
        <f t="shared" si="2"/>
        <v>1.1.11.1.10</v>
      </c>
      <c r="D20" t="str">
        <f t="shared" si="3"/>
        <v>Berubah</v>
      </c>
      <c r="E20" t="str">
        <f t="shared" si="4"/>
        <v>1.3.1.01.01.01.010</v>
      </c>
      <c r="F20" s="1">
        <v>15</v>
      </c>
      <c r="G20" s="19">
        <v>1</v>
      </c>
      <c r="H20" s="19">
        <v>3</v>
      </c>
      <c r="I20" s="19">
        <v>1</v>
      </c>
      <c r="J20" s="20" t="s">
        <v>13</v>
      </c>
      <c r="K20" s="20" t="s">
        <v>13</v>
      </c>
      <c r="L20" s="20" t="s">
        <v>13</v>
      </c>
      <c r="M20" s="20" t="s">
        <v>43</v>
      </c>
      <c r="N20" s="21" t="s">
        <v>44</v>
      </c>
      <c r="O20" s="1" t="b">
        <f t="shared" si="5"/>
        <v>0</v>
      </c>
      <c r="P20" s="1"/>
      <c r="Q20" s="1"/>
      <c r="R20" s="1">
        <v>15</v>
      </c>
      <c r="S20" s="42">
        <v>1</v>
      </c>
      <c r="T20" s="42">
        <v>1</v>
      </c>
      <c r="U20" s="42">
        <v>11</v>
      </c>
      <c r="V20" s="42">
        <v>1</v>
      </c>
      <c r="W20" s="42">
        <v>10</v>
      </c>
      <c r="X20" s="22" t="s">
        <v>45</v>
      </c>
      <c r="Y20" s="23" t="s">
        <v>16</v>
      </c>
      <c r="Z20" s="23">
        <v>12</v>
      </c>
    </row>
    <row r="21" spans="1:26" s="14" customFormat="1" ht="15.75" x14ac:dyDescent="0.25">
      <c r="A21" s="1"/>
      <c r="B21" t="s">
        <v>481</v>
      </c>
      <c r="C21" t="str">
        <f t="shared" si="2"/>
        <v>1.1.11.1.11</v>
      </c>
      <c r="D21" t="str">
        <f t="shared" si="3"/>
        <v>Berubah</v>
      </c>
      <c r="E21" t="str">
        <f t="shared" si="4"/>
        <v>1.3.1.01.01.01.011</v>
      </c>
      <c r="F21" s="14">
        <v>16</v>
      </c>
      <c r="G21" s="24">
        <v>1</v>
      </c>
      <c r="H21" s="24">
        <v>3</v>
      </c>
      <c r="I21" s="24">
        <v>1</v>
      </c>
      <c r="J21" s="25" t="s">
        <v>13</v>
      </c>
      <c r="K21" s="25" t="s">
        <v>13</v>
      </c>
      <c r="L21" s="25" t="s">
        <v>13</v>
      </c>
      <c r="M21" s="25" t="s">
        <v>46</v>
      </c>
      <c r="N21" s="26" t="s">
        <v>47</v>
      </c>
      <c r="O21" s="14" t="b">
        <f t="shared" si="5"/>
        <v>0</v>
      </c>
      <c r="R21" s="14">
        <v>16</v>
      </c>
      <c r="S21" s="43">
        <v>1</v>
      </c>
      <c r="T21" s="43">
        <v>1</v>
      </c>
      <c r="U21" s="43">
        <v>11</v>
      </c>
      <c r="V21" s="43">
        <v>1</v>
      </c>
      <c r="W21" s="43">
        <v>11</v>
      </c>
      <c r="X21" s="27" t="s">
        <v>48</v>
      </c>
      <c r="Y21" s="28"/>
      <c r="Z21" s="28"/>
    </row>
    <row r="22" spans="1:26" s="1" customFormat="1" ht="15.75" x14ac:dyDescent="0.25">
      <c r="B22" t="s">
        <v>481</v>
      </c>
      <c r="C22" t="str">
        <f t="shared" si="2"/>
        <v>1.1.11.1.11</v>
      </c>
      <c r="D22" t="str">
        <f t="shared" si="3"/>
        <v>Berubah</v>
      </c>
      <c r="E22" t="str">
        <f t="shared" si="4"/>
        <v>1.3.1.01.01.01.012</v>
      </c>
      <c r="F22" s="1">
        <v>17</v>
      </c>
      <c r="G22" s="19">
        <v>1</v>
      </c>
      <c r="H22" s="19">
        <v>3</v>
      </c>
      <c r="I22" s="19">
        <v>1</v>
      </c>
      <c r="J22" s="20" t="s">
        <v>13</v>
      </c>
      <c r="K22" s="20" t="s">
        <v>13</v>
      </c>
      <c r="L22" s="20" t="s">
        <v>13</v>
      </c>
      <c r="M22" s="20" t="s">
        <v>49</v>
      </c>
      <c r="N22" s="21" t="s">
        <v>50</v>
      </c>
      <c r="O22" s="1" t="b">
        <f t="shared" si="5"/>
        <v>0</v>
      </c>
      <c r="R22" s="1">
        <v>17</v>
      </c>
      <c r="S22" s="42">
        <v>1</v>
      </c>
      <c r="T22" s="42">
        <v>1</v>
      </c>
      <c r="U22" s="42">
        <v>11</v>
      </c>
      <c r="V22" s="42">
        <v>1</v>
      </c>
      <c r="W22" s="42">
        <v>11</v>
      </c>
      <c r="X22" s="22" t="s">
        <v>48</v>
      </c>
      <c r="Y22" s="23" t="s">
        <v>16</v>
      </c>
      <c r="Z22" s="23">
        <v>13</v>
      </c>
    </row>
    <row r="23" spans="1:26" s="1" customFormat="1" ht="15.75" x14ac:dyDescent="0.25">
      <c r="B23" t="s">
        <v>482</v>
      </c>
      <c r="C23" t="str">
        <f t="shared" si="2"/>
        <v>1.1.11.2.0</v>
      </c>
      <c r="D23" t="str">
        <f t="shared" si="3"/>
        <v>Berubah</v>
      </c>
      <c r="E23" t="str">
        <f t="shared" si="4"/>
        <v>1.3.1.01.01.02.</v>
      </c>
      <c r="F23">
        <v>18</v>
      </c>
      <c r="G23" s="9">
        <v>1</v>
      </c>
      <c r="H23" s="9">
        <v>3</v>
      </c>
      <c r="I23" s="9">
        <v>1</v>
      </c>
      <c r="J23" s="10" t="s">
        <v>13</v>
      </c>
      <c r="K23" s="10" t="s">
        <v>13</v>
      </c>
      <c r="L23" s="9" t="s">
        <v>21</v>
      </c>
      <c r="M23" s="9"/>
      <c r="N23" s="11" t="s">
        <v>51</v>
      </c>
      <c r="O23" t="b">
        <f t="shared" si="5"/>
        <v>1</v>
      </c>
      <c r="P23"/>
      <c r="Q23"/>
      <c r="R23">
        <v>18</v>
      </c>
      <c r="S23" s="41">
        <v>1</v>
      </c>
      <c r="T23" s="41">
        <v>1</v>
      </c>
      <c r="U23" s="41">
        <v>11</v>
      </c>
      <c r="V23" s="41">
        <v>2</v>
      </c>
      <c r="W23" s="41">
        <v>0</v>
      </c>
      <c r="X23" s="16" t="s">
        <v>51</v>
      </c>
      <c r="Y23" s="17" t="s">
        <v>16</v>
      </c>
      <c r="Z23" s="17">
        <v>14</v>
      </c>
    </row>
    <row r="24" spans="1:26" s="14" customFormat="1" ht="15.75" x14ac:dyDescent="0.25">
      <c r="A24" s="1"/>
      <c r="B24" t="s">
        <v>483</v>
      </c>
      <c r="C24" t="str">
        <f t="shared" si="2"/>
        <v>1.1.11.2.1</v>
      </c>
      <c r="D24" t="str">
        <f t="shared" si="3"/>
        <v>Berubah</v>
      </c>
      <c r="E24" t="str">
        <f t="shared" si="4"/>
        <v>1.3.1.01.01.02.001</v>
      </c>
      <c r="F24">
        <v>19</v>
      </c>
      <c r="G24" s="9">
        <v>1</v>
      </c>
      <c r="H24" s="9">
        <v>3</v>
      </c>
      <c r="I24" s="9">
        <v>1</v>
      </c>
      <c r="J24" s="10" t="s">
        <v>13</v>
      </c>
      <c r="K24" s="10" t="s">
        <v>13</v>
      </c>
      <c r="L24" s="10" t="s">
        <v>21</v>
      </c>
      <c r="M24" s="10" t="s">
        <v>17</v>
      </c>
      <c r="N24" s="18" t="s">
        <v>52</v>
      </c>
      <c r="O24" t="b">
        <f t="shared" si="5"/>
        <v>1</v>
      </c>
      <c r="P24"/>
      <c r="Q24"/>
      <c r="R24">
        <v>19</v>
      </c>
      <c r="S24" s="41">
        <v>1</v>
      </c>
      <c r="T24" s="41">
        <v>1</v>
      </c>
      <c r="U24" s="41">
        <v>11</v>
      </c>
      <c r="V24" s="41">
        <v>2</v>
      </c>
      <c r="W24" s="41">
        <v>1</v>
      </c>
      <c r="X24" s="16" t="s">
        <v>52</v>
      </c>
      <c r="Y24" s="17" t="s">
        <v>16</v>
      </c>
      <c r="Z24" s="17">
        <v>15</v>
      </c>
    </row>
    <row r="25" spans="1:26" s="1" customFormat="1" ht="15.75" x14ac:dyDescent="0.25">
      <c r="B25" t="s">
        <v>484</v>
      </c>
      <c r="C25" t="str">
        <f t="shared" si="2"/>
        <v>1.1.11.2.2</v>
      </c>
      <c r="D25" t="str">
        <f t="shared" si="3"/>
        <v>Berubah</v>
      </c>
      <c r="E25" t="str">
        <f t="shared" si="4"/>
        <v>1.3.1.01.01.02.002</v>
      </c>
      <c r="F25" s="1">
        <v>20</v>
      </c>
      <c r="G25" s="19">
        <v>1</v>
      </c>
      <c r="H25" s="19">
        <v>3</v>
      </c>
      <c r="I25" s="19">
        <v>1</v>
      </c>
      <c r="J25" s="20" t="s">
        <v>13</v>
      </c>
      <c r="K25" s="20" t="s">
        <v>13</v>
      </c>
      <c r="L25" s="20" t="s">
        <v>21</v>
      </c>
      <c r="M25" s="20" t="s">
        <v>19</v>
      </c>
      <c r="N25" s="21" t="s">
        <v>53</v>
      </c>
      <c r="O25" s="1" t="b">
        <f t="shared" si="5"/>
        <v>0</v>
      </c>
      <c r="R25" s="1">
        <v>20</v>
      </c>
      <c r="S25" s="42">
        <v>1</v>
      </c>
      <c r="T25" s="42">
        <v>1</v>
      </c>
      <c r="U25" s="42">
        <v>11</v>
      </c>
      <c r="V25" s="42">
        <v>2</v>
      </c>
      <c r="W25" s="42">
        <v>2</v>
      </c>
      <c r="X25" s="22" t="s">
        <v>54</v>
      </c>
      <c r="Y25" s="23" t="s">
        <v>16</v>
      </c>
      <c r="Z25" s="23">
        <v>16</v>
      </c>
    </row>
    <row r="26" spans="1:26" s="14" customFormat="1" ht="15.75" x14ac:dyDescent="0.25">
      <c r="A26" s="1"/>
      <c r="B26" t="s">
        <v>485</v>
      </c>
      <c r="C26" t="str">
        <f t="shared" si="2"/>
        <v>1.1.11.2.3</v>
      </c>
      <c r="D26" t="str">
        <f t="shared" si="3"/>
        <v>Berubah</v>
      </c>
      <c r="E26" t="str">
        <f t="shared" si="4"/>
        <v>1.3.1.01.01.02.003</v>
      </c>
      <c r="F26">
        <v>21</v>
      </c>
      <c r="G26" s="9">
        <v>1</v>
      </c>
      <c r="H26" s="9">
        <v>3</v>
      </c>
      <c r="I26" s="9">
        <v>1</v>
      </c>
      <c r="J26" s="10" t="s">
        <v>13</v>
      </c>
      <c r="K26" s="10" t="s">
        <v>13</v>
      </c>
      <c r="L26" s="10" t="s">
        <v>21</v>
      </c>
      <c r="M26" s="10" t="s">
        <v>22</v>
      </c>
      <c r="N26" s="18" t="s">
        <v>55</v>
      </c>
      <c r="O26" t="b">
        <f t="shared" si="5"/>
        <v>1</v>
      </c>
      <c r="P26"/>
      <c r="Q26"/>
      <c r="R26">
        <v>21</v>
      </c>
      <c r="S26" s="41">
        <v>1</v>
      </c>
      <c r="T26" s="41">
        <v>1</v>
      </c>
      <c r="U26" s="41">
        <v>11</v>
      </c>
      <c r="V26" s="41">
        <v>2</v>
      </c>
      <c r="W26" s="41">
        <v>3</v>
      </c>
      <c r="X26" s="16" t="s">
        <v>55</v>
      </c>
      <c r="Y26" s="17" t="s">
        <v>16</v>
      </c>
      <c r="Z26" s="17">
        <v>17</v>
      </c>
    </row>
    <row r="27" spans="1:26" s="1" customFormat="1" ht="15.75" x14ac:dyDescent="0.25">
      <c r="B27" t="s">
        <v>486</v>
      </c>
      <c r="C27" t="str">
        <f t="shared" si="2"/>
        <v>1.1.11.2.4</v>
      </c>
      <c r="D27" t="str">
        <f t="shared" si="3"/>
        <v>Berubah</v>
      </c>
      <c r="E27" t="str">
        <f t="shared" si="4"/>
        <v>1.3.1.01.01.02.004</v>
      </c>
      <c r="F27">
        <v>22</v>
      </c>
      <c r="G27" s="9">
        <v>1</v>
      </c>
      <c r="H27" s="9">
        <v>3</v>
      </c>
      <c r="I27" s="9">
        <v>1</v>
      </c>
      <c r="J27" s="10" t="s">
        <v>13</v>
      </c>
      <c r="K27" s="10" t="s">
        <v>13</v>
      </c>
      <c r="L27" s="10" t="s">
        <v>21</v>
      </c>
      <c r="M27" s="10" t="s">
        <v>25</v>
      </c>
      <c r="N27" s="18" t="s">
        <v>56</v>
      </c>
      <c r="O27" t="b">
        <f t="shared" si="5"/>
        <v>1</v>
      </c>
      <c r="P27"/>
      <c r="Q27"/>
      <c r="R27">
        <v>22</v>
      </c>
      <c r="S27" s="41">
        <v>1</v>
      </c>
      <c r="T27" s="41">
        <v>1</v>
      </c>
      <c r="U27" s="41">
        <v>11</v>
      </c>
      <c r="V27" s="41">
        <v>2</v>
      </c>
      <c r="W27" s="41">
        <v>4</v>
      </c>
      <c r="X27" s="16" t="s">
        <v>56</v>
      </c>
      <c r="Y27" s="17" t="s">
        <v>16</v>
      </c>
      <c r="Z27" s="17">
        <v>18</v>
      </c>
    </row>
    <row r="28" spans="1:26" s="1" customFormat="1" ht="15.75" x14ac:dyDescent="0.25">
      <c r="B28" t="s">
        <v>487</v>
      </c>
      <c r="C28" t="str">
        <f t="shared" si="2"/>
        <v>1.1.11.2.5</v>
      </c>
      <c r="D28" t="str">
        <f t="shared" si="3"/>
        <v>Berubah</v>
      </c>
      <c r="E28" t="str">
        <f t="shared" si="4"/>
        <v>1.3.1.01.01.02.005</v>
      </c>
      <c r="F28">
        <v>23</v>
      </c>
      <c r="G28" s="9">
        <v>1</v>
      </c>
      <c r="H28" s="9">
        <v>3</v>
      </c>
      <c r="I28" s="9">
        <v>1</v>
      </c>
      <c r="J28" s="10" t="s">
        <v>13</v>
      </c>
      <c r="K28" s="10" t="s">
        <v>13</v>
      </c>
      <c r="L28" s="10" t="s">
        <v>21</v>
      </c>
      <c r="M28" s="10" t="s">
        <v>28</v>
      </c>
      <c r="N28" s="18" t="s">
        <v>57</v>
      </c>
      <c r="O28" t="b">
        <f t="shared" si="5"/>
        <v>1</v>
      </c>
      <c r="P28"/>
      <c r="Q28"/>
      <c r="R28">
        <v>23</v>
      </c>
      <c r="S28" s="41">
        <v>1</v>
      </c>
      <c r="T28" s="41">
        <v>1</v>
      </c>
      <c r="U28" s="41">
        <v>11</v>
      </c>
      <c r="V28" s="41">
        <v>2</v>
      </c>
      <c r="W28" s="41">
        <v>5</v>
      </c>
      <c r="X28" s="16" t="s">
        <v>57</v>
      </c>
      <c r="Y28" s="17" t="s">
        <v>16</v>
      </c>
      <c r="Z28" s="17">
        <v>19</v>
      </c>
    </row>
    <row r="29" spans="1:26" s="1" customFormat="1" ht="15.75" x14ac:dyDescent="0.25">
      <c r="B29" t="s">
        <v>488</v>
      </c>
      <c r="C29" t="str">
        <f t="shared" si="2"/>
        <v>1.1.11.2.6</v>
      </c>
      <c r="D29" t="str">
        <f t="shared" si="3"/>
        <v>Berubah</v>
      </c>
      <c r="E29" t="str">
        <f t="shared" si="4"/>
        <v>1.3.1.01.01.02.006</v>
      </c>
      <c r="F29" s="1">
        <v>24</v>
      </c>
      <c r="G29" s="19">
        <v>1</v>
      </c>
      <c r="H29" s="19">
        <v>3</v>
      </c>
      <c r="I29" s="19">
        <v>1</v>
      </c>
      <c r="J29" s="20" t="s">
        <v>13</v>
      </c>
      <c r="K29" s="20" t="s">
        <v>13</v>
      </c>
      <c r="L29" s="20" t="s">
        <v>21</v>
      </c>
      <c r="M29" s="20" t="s">
        <v>31</v>
      </c>
      <c r="N29" s="21" t="s">
        <v>58</v>
      </c>
      <c r="O29" s="1" t="b">
        <f t="shared" si="5"/>
        <v>0</v>
      </c>
      <c r="R29" s="1">
        <v>24</v>
      </c>
      <c r="S29" s="42">
        <v>1</v>
      </c>
      <c r="T29" s="42">
        <v>1</v>
      </c>
      <c r="U29" s="42">
        <v>11</v>
      </c>
      <c r="V29" s="42">
        <v>2</v>
      </c>
      <c r="W29" s="42">
        <v>6</v>
      </c>
      <c r="X29" s="22" t="s">
        <v>59</v>
      </c>
      <c r="Y29" s="23" t="s">
        <v>16</v>
      </c>
      <c r="Z29" s="23">
        <v>20</v>
      </c>
    </row>
    <row r="30" spans="1:26" s="1" customFormat="1" ht="15.75" x14ac:dyDescent="0.25">
      <c r="B30" t="s">
        <v>489</v>
      </c>
      <c r="C30" t="str">
        <f t="shared" si="2"/>
        <v>1.1.11.2.7</v>
      </c>
      <c r="D30" t="str">
        <f t="shared" si="3"/>
        <v>Berubah</v>
      </c>
      <c r="E30" t="str">
        <f t="shared" si="4"/>
        <v>1.3.1.01.01.02.007</v>
      </c>
      <c r="F30">
        <v>25</v>
      </c>
      <c r="G30" s="9">
        <v>1</v>
      </c>
      <c r="H30" s="9">
        <v>3</v>
      </c>
      <c r="I30" s="9">
        <v>1</v>
      </c>
      <c r="J30" s="10" t="s">
        <v>13</v>
      </c>
      <c r="K30" s="10" t="s">
        <v>13</v>
      </c>
      <c r="L30" s="10" t="s">
        <v>21</v>
      </c>
      <c r="M30" s="10" t="s">
        <v>34</v>
      </c>
      <c r="N30" s="18" t="s">
        <v>60</v>
      </c>
      <c r="O30" t="b">
        <f t="shared" si="5"/>
        <v>1</v>
      </c>
      <c r="P30"/>
      <c r="Q30"/>
      <c r="R30">
        <v>25</v>
      </c>
      <c r="S30" s="41">
        <v>1</v>
      </c>
      <c r="T30" s="41">
        <v>1</v>
      </c>
      <c r="U30" s="41">
        <v>11</v>
      </c>
      <c r="V30" s="41">
        <v>2</v>
      </c>
      <c r="W30" s="41">
        <v>7</v>
      </c>
      <c r="X30" s="16" t="s">
        <v>60</v>
      </c>
      <c r="Y30" s="17" t="s">
        <v>16</v>
      </c>
      <c r="Z30" s="17">
        <v>21</v>
      </c>
    </row>
    <row r="31" spans="1:26" s="1" customFormat="1" ht="15.75" x14ac:dyDescent="0.25">
      <c r="B31" t="s">
        <v>490</v>
      </c>
      <c r="C31" t="str">
        <f t="shared" si="2"/>
        <v>1.1.11.2.8</v>
      </c>
      <c r="D31" t="str">
        <f t="shared" si="3"/>
        <v>Berubah</v>
      </c>
      <c r="E31" t="str">
        <f t="shared" si="4"/>
        <v>1.3.1.01.01.02.008</v>
      </c>
      <c r="F31">
        <v>26</v>
      </c>
      <c r="G31" s="9">
        <v>1</v>
      </c>
      <c r="H31" s="9">
        <v>3</v>
      </c>
      <c r="I31" s="9">
        <v>1</v>
      </c>
      <c r="J31" s="10" t="s">
        <v>13</v>
      </c>
      <c r="K31" s="10" t="s">
        <v>13</v>
      </c>
      <c r="L31" s="10" t="s">
        <v>21</v>
      </c>
      <c r="M31" s="10" t="s">
        <v>37</v>
      </c>
      <c r="N31" s="18" t="s">
        <v>61</v>
      </c>
      <c r="O31" t="b">
        <f t="shared" si="5"/>
        <v>1</v>
      </c>
      <c r="P31"/>
      <c r="Q31"/>
      <c r="R31">
        <v>26</v>
      </c>
      <c r="S31" s="41">
        <v>1</v>
      </c>
      <c r="T31" s="41">
        <v>1</v>
      </c>
      <c r="U31" s="41">
        <v>11</v>
      </c>
      <c r="V31" s="41">
        <v>2</v>
      </c>
      <c r="W31" s="41">
        <v>8</v>
      </c>
      <c r="X31" s="16" t="s">
        <v>61</v>
      </c>
      <c r="Y31" s="17" t="s">
        <v>16</v>
      </c>
      <c r="Z31" s="17">
        <v>22</v>
      </c>
    </row>
    <row r="32" spans="1:26" s="1" customFormat="1" ht="15.75" x14ac:dyDescent="0.25">
      <c r="B32" t="s">
        <v>491</v>
      </c>
      <c r="C32" t="str">
        <f t="shared" si="2"/>
        <v>1.1.11.2.9</v>
      </c>
      <c r="D32" t="str">
        <f t="shared" si="3"/>
        <v>Berubah</v>
      </c>
      <c r="E32" t="str">
        <f t="shared" si="4"/>
        <v>1.3.1.01.01.02.009</v>
      </c>
      <c r="F32">
        <v>27</v>
      </c>
      <c r="G32" s="9">
        <v>1</v>
      </c>
      <c r="H32" s="9">
        <v>3</v>
      </c>
      <c r="I32" s="9">
        <v>1</v>
      </c>
      <c r="J32" s="10" t="s">
        <v>13</v>
      </c>
      <c r="K32" s="10" t="s">
        <v>13</v>
      </c>
      <c r="L32" s="10" t="s">
        <v>21</v>
      </c>
      <c r="M32" s="10" t="s">
        <v>40</v>
      </c>
      <c r="N32" s="18" t="s">
        <v>62</v>
      </c>
      <c r="O32" t="b">
        <f t="shared" si="5"/>
        <v>1</v>
      </c>
      <c r="P32"/>
      <c r="Q32"/>
      <c r="R32">
        <v>27</v>
      </c>
      <c r="S32" s="41">
        <v>1</v>
      </c>
      <c r="T32" s="41">
        <v>1</v>
      </c>
      <c r="U32" s="41">
        <v>11</v>
      </c>
      <c r="V32" s="41">
        <v>2</v>
      </c>
      <c r="W32" s="41">
        <v>9</v>
      </c>
      <c r="X32" s="16" t="s">
        <v>62</v>
      </c>
      <c r="Y32" s="17" t="s">
        <v>16</v>
      </c>
      <c r="Z32" s="17">
        <v>23</v>
      </c>
    </row>
    <row r="33" spans="1:26" s="1" customFormat="1" ht="15.75" x14ac:dyDescent="0.25">
      <c r="B33" t="s">
        <v>492</v>
      </c>
      <c r="C33" t="str">
        <f t="shared" si="2"/>
        <v>1.1.11.2.10</v>
      </c>
      <c r="D33" t="str">
        <f t="shared" si="3"/>
        <v>Berubah</v>
      </c>
      <c r="E33" t="str">
        <f t="shared" si="4"/>
        <v>1.3.1.01.01.02.010</v>
      </c>
      <c r="F33">
        <v>28</v>
      </c>
      <c r="G33" s="9">
        <v>1</v>
      </c>
      <c r="H33" s="9">
        <v>3</v>
      </c>
      <c r="I33" s="9">
        <v>1</v>
      </c>
      <c r="J33" s="10" t="s">
        <v>13</v>
      </c>
      <c r="K33" s="10" t="s">
        <v>13</v>
      </c>
      <c r="L33" s="10" t="s">
        <v>21</v>
      </c>
      <c r="M33" s="10" t="s">
        <v>43</v>
      </c>
      <c r="N33" s="18" t="s">
        <v>63</v>
      </c>
      <c r="O33" t="b">
        <f t="shared" si="5"/>
        <v>1</v>
      </c>
      <c r="P33"/>
      <c r="Q33"/>
      <c r="R33">
        <v>28</v>
      </c>
      <c r="S33" s="41">
        <v>1</v>
      </c>
      <c r="T33" s="41">
        <v>1</v>
      </c>
      <c r="U33" s="41">
        <v>11</v>
      </c>
      <c r="V33" s="41">
        <v>2</v>
      </c>
      <c r="W33" s="41">
        <v>10</v>
      </c>
      <c r="X33" s="16" t="s">
        <v>63</v>
      </c>
      <c r="Y33" s="17" t="s">
        <v>16</v>
      </c>
      <c r="Z33" s="17">
        <v>24</v>
      </c>
    </row>
    <row r="34" spans="1:26" s="1" customFormat="1" ht="15.75" x14ac:dyDescent="0.25">
      <c r="B34" t="s">
        <v>493</v>
      </c>
      <c r="C34" t="str">
        <f t="shared" si="2"/>
        <v>1.1.11.2.11</v>
      </c>
      <c r="D34" t="str">
        <f t="shared" si="3"/>
        <v>Berubah</v>
      </c>
      <c r="E34" t="str">
        <f t="shared" si="4"/>
        <v>1.3.1.01.01.02.011</v>
      </c>
      <c r="F34">
        <v>29</v>
      </c>
      <c r="G34" s="9">
        <v>1</v>
      </c>
      <c r="H34" s="9">
        <v>3</v>
      </c>
      <c r="I34" s="9">
        <v>1</v>
      </c>
      <c r="J34" s="10" t="s">
        <v>13</v>
      </c>
      <c r="K34" s="10" t="s">
        <v>13</v>
      </c>
      <c r="L34" s="10" t="s">
        <v>21</v>
      </c>
      <c r="M34" s="10" t="s">
        <v>46</v>
      </c>
      <c r="N34" s="18" t="s">
        <v>64</v>
      </c>
      <c r="O34" t="b">
        <f t="shared" si="5"/>
        <v>1</v>
      </c>
      <c r="P34"/>
      <c r="Q34"/>
      <c r="R34">
        <v>29</v>
      </c>
      <c r="S34" s="41">
        <v>1</v>
      </c>
      <c r="T34" s="41">
        <v>1</v>
      </c>
      <c r="U34" s="41">
        <v>11</v>
      </c>
      <c r="V34" s="41">
        <v>2</v>
      </c>
      <c r="W34" s="41">
        <v>11</v>
      </c>
      <c r="X34" s="16" t="s">
        <v>64</v>
      </c>
      <c r="Y34" s="17" t="s">
        <v>16</v>
      </c>
      <c r="Z34" s="17">
        <v>25</v>
      </c>
    </row>
    <row r="35" spans="1:26" s="1" customFormat="1" ht="15.75" x14ac:dyDescent="0.25">
      <c r="B35" t="s">
        <v>494</v>
      </c>
      <c r="C35" t="str">
        <f t="shared" si="2"/>
        <v>1.1.11.2.12</v>
      </c>
      <c r="D35" t="str">
        <f t="shared" si="3"/>
        <v>Berubah</v>
      </c>
      <c r="E35" t="str">
        <f t="shared" si="4"/>
        <v>1.3.1.01.01.02.012</v>
      </c>
      <c r="F35">
        <v>30</v>
      </c>
      <c r="G35" s="9">
        <v>1</v>
      </c>
      <c r="H35" s="9">
        <v>3</v>
      </c>
      <c r="I35" s="9">
        <v>1</v>
      </c>
      <c r="J35" s="10" t="s">
        <v>13</v>
      </c>
      <c r="K35" s="10" t="s">
        <v>13</v>
      </c>
      <c r="L35" s="10" t="s">
        <v>21</v>
      </c>
      <c r="M35" s="10" t="s">
        <v>49</v>
      </c>
      <c r="N35" s="18" t="s">
        <v>65</v>
      </c>
      <c r="O35" t="b">
        <f t="shared" si="5"/>
        <v>1</v>
      </c>
      <c r="P35"/>
      <c r="Q35"/>
      <c r="R35">
        <v>30</v>
      </c>
      <c r="S35" s="41">
        <v>1</v>
      </c>
      <c r="T35" s="41">
        <v>1</v>
      </c>
      <c r="U35" s="41">
        <v>11</v>
      </c>
      <c r="V35" s="41">
        <v>2</v>
      </c>
      <c r="W35" s="41">
        <v>12</v>
      </c>
      <c r="X35" s="16" t="s">
        <v>65</v>
      </c>
      <c r="Y35" s="17" t="s">
        <v>16</v>
      </c>
      <c r="Z35" s="17">
        <v>26</v>
      </c>
    </row>
    <row r="36" spans="1:26" s="1" customFormat="1" ht="15.75" x14ac:dyDescent="0.25">
      <c r="B36" t="s">
        <v>495</v>
      </c>
      <c r="C36" t="str">
        <f t="shared" si="2"/>
        <v>1.1.11.2.13</v>
      </c>
      <c r="D36" t="str">
        <f t="shared" si="3"/>
        <v>Berubah</v>
      </c>
      <c r="E36" t="str">
        <f t="shared" si="4"/>
        <v>1.3.1.01.01.02.013</v>
      </c>
      <c r="F36">
        <v>31</v>
      </c>
      <c r="G36" s="9">
        <v>1</v>
      </c>
      <c r="H36" s="9">
        <v>3</v>
      </c>
      <c r="I36" s="9">
        <v>1</v>
      </c>
      <c r="J36" s="10" t="s">
        <v>13</v>
      </c>
      <c r="K36" s="10" t="s">
        <v>13</v>
      </c>
      <c r="L36" s="10" t="s">
        <v>21</v>
      </c>
      <c r="M36" s="10" t="s">
        <v>66</v>
      </c>
      <c r="N36" s="18" t="s">
        <v>67</v>
      </c>
      <c r="O36" t="b">
        <f t="shared" si="5"/>
        <v>1</v>
      </c>
      <c r="P36"/>
      <c r="Q36"/>
      <c r="R36">
        <v>31</v>
      </c>
      <c r="S36" s="41">
        <v>1</v>
      </c>
      <c r="T36" s="41">
        <v>1</v>
      </c>
      <c r="U36" s="41">
        <v>11</v>
      </c>
      <c r="V36" s="41">
        <v>2</v>
      </c>
      <c r="W36" s="41">
        <v>13</v>
      </c>
      <c r="X36" s="16" t="s">
        <v>67</v>
      </c>
      <c r="Y36" s="17" t="s">
        <v>16</v>
      </c>
      <c r="Z36" s="17">
        <v>27</v>
      </c>
    </row>
    <row r="37" spans="1:26" s="1" customFormat="1" ht="15.75" x14ac:dyDescent="0.25">
      <c r="B37" t="s">
        <v>496</v>
      </c>
      <c r="C37" t="str">
        <f t="shared" si="2"/>
        <v>1.1.11.2.14</v>
      </c>
      <c r="D37" t="str">
        <f t="shared" si="3"/>
        <v>Berubah</v>
      </c>
      <c r="E37" t="str">
        <f t="shared" si="4"/>
        <v>1.3.1.01.01.02.014</v>
      </c>
      <c r="F37" s="14">
        <v>32</v>
      </c>
      <c r="G37" s="24">
        <v>1</v>
      </c>
      <c r="H37" s="24">
        <v>3</v>
      </c>
      <c r="I37" s="24">
        <v>1</v>
      </c>
      <c r="J37" s="25" t="s">
        <v>13</v>
      </c>
      <c r="K37" s="25" t="s">
        <v>13</v>
      </c>
      <c r="L37" s="25" t="s">
        <v>21</v>
      </c>
      <c r="M37" s="25" t="s">
        <v>68</v>
      </c>
      <c r="N37" s="26" t="s">
        <v>69</v>
      </c>
      <c r="O37" s="14" t="b">
        <f t="shared" si="5"/>
        <v>0</v>
      </c>
      <c r="P37" s="14"/>
      <c r="Q37" s="14"/>
      <c r="R37" s="14">
        <v>32</v>
      </c>
      <c r="S37" s="43">
        <v>1</v>
      </c>
      <c r="T37" s="43">
        <v>1</v>
      </c>
      <c r="U37" s="43">
        <v>11</v>
      </c>
      <c r="V37" s="43">
        <v>2</v>
      </c>
      <c r="W37" s="43">
        <v>14</v>
      </c>
      <c r="X37" s="27" t="s">
        <v>70</v>
      </c>
      <c r="Y37" s="29" t="s">
        <v>16</v>
      </c>
      <c r="Z37" s="29">
        <v>28</v>
      </c>
    </row>
    <row r="38" spans="1:26" s="1" customFormat="1" ht="15.75" x14ac:dyDescent="0.25">
      <c r="B38" t="s">
        <v>497</v>
      </c>
      <c r="C38" t="str">
        <f t="shared" si="2"/>
        <v>1.1.11.2.15</v>
      </c>
      <c r="D38" t="str">
        <f t="shared" si="3"/>
        <v>Berubah</v>
      </c>
      <c r="E38" t="str">
        <f t="shared" si="4"/>
        <v>1.3.1.01.01.02.015</v>
      </c>
      <c r="F38" s="1">
        <v>33</v>
      </c>
      <c r="G38" s="19">
        <v>1</v>
      </c>
      <c r="H38" s="19">
        <v>3</v>
      </c>
      <c r="I38" s="19">
        <v>1</v>
      </c>
      <c r="J38" s="20" t="s">
        <v>13</v>
      </c>
      <c r="K38" s="20" t="s">
        <v>13</v>
      </c>
      <c r="L38" s="20" t="s">
        <v>21</v>
      </c>
      <c r="M38" s="20" t="s">
        <v>71</v>
      </c>
      <c r="N38" s="21" t="s">
        <v>50</v>
      </c>
      <c r="O38" s="1" t="b">
        <f t="shared" si="5"/>
        <v>0</v>
      </c>
      <c r="R38" s="1">
        <v>33</v>
      </c>
      <c r="S38" s="42">
        <v>1</v>
      </c>
      <c r="T38" s="42">
        <v>1</v>
      </c>
      <c r="U38" s="42">
        <v>11</v>
      </c>
      <c r="V38" s="42">
        <v>2</v>
      </c>
      <c r="W38" s="42">
        <v>15</v>
      </c>
      <c r="X38" s="22" t="s">
        <v>48</v>
      </c>
      <c r="Y38" s="23" t="s">
        <v>16</v>
      </c>
      <c r="Z38" s="23">
        <v>29</v>
      </c>
    </row>
    <row r="39" spans="1:26" s="1" customFormat="1" ht="15.75" x14ac:dyDescent="0.25">
      <c r="B39" t="s">
        <v>498</v>
      </c>
      <c r="C39" t="str">
        <f t="shared" si="2"/>
        <v>1.1.11.3.0</v>
      </c>
      <c r="D39" t="str">
        <f t="shared" si="3"/>
        <v>Berubah</v>
      </c>
      <c r="E39" t="str">
        <f t="shared" si="4"/>
        <v>1.3.1.01.01.03.</v>
      </c>
      <c r="F39">
        <v>34</v>
      </c>
      <c r="G39" s="9">
        <v>1</v>
      </c>
      <c r="H39" s="9">
        <v>3</v>
      </c>
      <c r="I39" s="9">
        <v>1</v>
      </c>
      <c r="J39" s="10" t="s">
        <v>13</v>
      </c>
      <c r="K39" s="10" t="s">
        <v>13</v>
      </c>
      <c r="L39" s="9" t="s">
        <v>24</v>
      </c>
      <c r="M39" s="9"/>
      <c r="N39" s="11" t="s">
        <v>72</v>
      </c>
      <c r="O39" t="b">
        <f t="shared" si="5"/>
        <v>1</v>
      </c>
      <c r="P39"/>
      <c r="Q39"/>
      <c r="R39">
        <v>34</v>
      </c>
      <c r="S39" s="41">
        <v>1</v>
      </c>
      <c r="T39" s="41">
        <v>1</v>
      </c>
      <c r="U39" s="41">
        <v>11</v>
      </c>
      <c r="V39" s="41">
        <v>3</v>
      </c>
      <c r="W39" s="41">
        <v>0</v>
      </c>
      <c r="X39" s="16" t="s">
        <v>72</v>
      </c>
      <c r="Y39" s="17" t="s">
        <v>16</v>
      </c>
      <c r="Z39" s="17">
        <v>30</v>
      </c>
    </row>
    <row r="40" spans="1:26" s="1" customFormat="1" ht="15.75" x14ac:dyDescent="0.25">
      <c r="B40" t="s">
        <v>499</v>
      </c>
      <c r="C40" t="str">
        <f t="shared" si="2"/>
        <v>1.1.11.3.1</v>
      </c>
      <c r="D40" t="str">
        <f t="shared" si="3"/>
        <v>Berubah</v>
      </c>
      <c r="E40" t="str">
        <f t="shared" si="4"/>
        <v>1.3.1.01.01.03.001</v>
      </c>
      <c r="F40">
        <v>35</v>
      </c>
      <c r="G40" s="9">
        <v>1</v>
      </c>
      <c r="H40" s="9">
        <v>3</v>
      </c>
      <c r="I40" s="9">
        <v>1</v>
      </c>
      <c r="J40" s="10" t="s">
        <v>13</v>
      </c>
      <c r="K40" s="10" t="s">
        <v>13</v>
      </c>
      <c r="L40" s="10" t="s">
        <v>24</v>
      </c>
      <c r="M40" s="10" t="s">
        <v>17</v>
      </c>
      <c r="N40" s="18" t="s">
        <v>73</v>
      </c>
      <c r="O40" t="b">
        <f t="shared" si="5"/>
        <v>1</v>
      </c>
      <c r="P40"/>
      <c r="Q40"/>
      <c r="R40">
        <v>35</v>
      </c>
      <c r="S40" s="41">
        <v>1</v>
      </c>
      <c r="T40" s="41">
        <v>1</v>
      </c>
      <c r="U40" s="41">
        <v>11</v>
      </c>
      <c r="V40" s="41">
        <v>3</v>
      </c>
      <c r="W40" s="41">
        <v>1</v>
      </c>
      <c r="X40" s="16" t="s">
        <v>73</v>
      </c>
      <c r="Y40" s="17" t="s">
        <v>16</v>
      </c>
      <c r="Z40" s="17">
        <v>31</v>
      </c>
    </row>
    <row r="41" spans="1:26" s="1" customFormat="1" ht="15.75" x14ac:dyDescent="0.25">
      <c r="B41" t="s">
        <v>500</v>
      </c>
      <c r="C41" t="str">
        <f t="shared" si="2"/>
        <v>1.1.11.3.2</v>
      </c>
      <c r="D41" t="str">
        <f t="shared" si="3"/>
        <v>Berubah</v>
      </c>
      <c r="E41" t="str">
        <f t="shared" si="4"/>
        <v>1.3.1.01.01.03.002</v>
      </c>
      <c r="F41">
        <v>36</v>
      </c>
      <c r="G41" s="9">
        <v>1</v>
      </c>
      <c r="H41" s="9">
        <v>3</v>
      </c>
      <c r="I41" s="9">
        <v>1</v>
      </c>
      <c r="J41" s="10" t="s">
        <v>13</v>
      </c>
      <c r="K41" s="10" t="s">
        <v>13</v>
      </c>
      <c r="L41" s="10" t="s">
        <v>24</v>
      </c>
      <c r="M41" s="10" t="s">
        <v>19</v>
      </c>
      <c r="N41" s="18" t="s">
        <v>74</v>
      </c>
      <c r="O41" t="b">
        <f t="shared" si="5"/>
        <v>1</v>
      </c>
      <c r="P41"/>
      <c r="Q41"/>
      <c r="R41">
        <v>36</v>
      </c>
      <c r="S41" s="41">
        <v>1</v>
      </c>
      <c r="T41" s="41">
        <v>1</v>
      </c>
      <c r="U41" s="41">
        <v>11</v>
      </c>
      <c r="V41" s="41">
        <v>3</v>
      </c>
      <c r="W41" s="41">
        <v>2</v>
      </c>
      <c r="X41" s="16" t="s">
        <v>74</v>
      </c>
      <c r="Y41" s="17" t="s">
        <v>16</v>
      </c>
      <c r="Z41" s="17">
        <v>32</v>
      </c>
    </row>
    <row r="42" spans="1:26" s="1" customFormat="1" ht="15.75" x14ac:dyDescent="0.25">
      <c r="B42" t="s">
        <v>501</v>
      </c>
      <c r="C42" t="str">
        <f t="shared" si="2"/>
        <v>1.1.11.3.3</v>
      </c>
      <c r="D42" t="str">
        <f t="shared" si="3"/>
        <v>Berubah</v>
      </c>
      <c r="E42" t="str">
        <f t="shared" si="4"/>
        <v>1.3.1.01.01.03.003</v>
      </c>
      <c r="F42" s="1">
        <v>37</v>
      </c>
      <c r="G42" s="19">
        <v>1</v>
      </c>
      <c r="H42" s="19">
        <v>3</v>
      </c>
      <c r="I42" s="19">
        <v>1</v>
      </c>
      <c r="J42" s="20" t="s">
        <v>13</v>
      </c>
      <c r="K42" s="20" t="s">
        <v>13</v>
      </c>
      <c r="L42" s="20" t="s">
        <v>24</v>
      </c>
      <c r="M42" s="20" t="s">
        <v>22</v>
      </c>
      <c r="N42" s="21" t="s">
        <v>75</v>
      </c>
      <c r="O42" s="1" t="b">
        <f t="shared" si="5"/>
        <v>0</v>
      </c>
      <c r="R42" s="1">
        <v>37</v>
      </c>
      <c r="S42" s="42">
        <v>1</v>
      </c>
      <c r="T42" s="42">
        <v>1</v>
      </c>
      <c r="U42" s="42">
        <v>11</v>
      </c>
      <c r="V42" s="42">
        <v>3</v>
      </c>
      <c r="W42" s="42">
        <v>3</v>
      </c>
      <c r="X42" s="22" t="s">
        <v>76</v>
      </c>
      <c r="Y42" s="23" t="s">
        <v>16</v>
      </c>
      <c r="Z42" s="23">
        <v>33</v>
      </c>
    </row>
    <row r="43" spans="1:26" s="1" customFormat="1" ht="15.75" x14ac:dyDescent="0.25">
      <c r="B43" t="s">
        <v>502</v>
      </c>
      <c r="C43" t="str">
        <f t="shared" si="2"/>
        <v>1.1.11.3.4</v>
      </c>
      <c r="D43" t="str">
        <f t="shared" si="3"/>
        <v>Berubah</v>
      </c>
      <c r="E43" t="str">
        <f t="shared" si="4"/>
        <v>1.3.1.01.01.03.004</v>
      </c>
      <c r="F43">
        <v>38</v>
      </c>
      <c r="G43" s="9">
        <v>1</v>
      </c>
      <c r="H43" s="9">
        <v>3</v>
      </c>
      <c r="I43" s="9">
        <v>1</v>
      </c>
      <c r="J43" s="10" t="s">
        <v>13</v>
      </c>
      <c r="K43" s="10" t="s">
        <v>13</v>
      </c>
      <c r="L43" s="10" t="s">
        <v>24</v>
      </c>
      <c r="M43" s="10" t="s">
        <v>25</v>
      </c>
      <c r="N43" s="18" t="s">
        <v>77</v>
      </c>
      <c r="O43" t="b">
        <f t="shared" si="5"/>
        <v>1</v>
      </c>
      <c r="P43"/>
      <c r="Q43"/>
      <c r="R43">
        <v>38</v>
      </c>
      <c r="S43" s="41">
        <v>1</v>
      </c>
      <c r="T43" s="41">
        <v>1</v>
      </c>
      <c r="U43" s="41">
        <v>11</v>
      </c>
      <c r="V43" s="41">
        <v>3</v>
      </c>
      <c r="W43" s="41">
        <v>4</v>
      </c>
      <c r="X43" s="16" t="s">
        <v>77</v>
      </c>
      <c r="Y43" s="17" t="s">
        <v>16</v>
      </c>
      <c r="Z43" s="17">
        <v>34</v>
      </c>
    </row>
    <row r="44" spans="1:26" s="1" customFormat="1" ht="15.75" x14ac:dyDescent="0.25">
      <c r="B44" t="s">
        <v>503</v>
      </c>
      <c r="C44" t="str">
        <f t="shared" si="2"/>
        <v>1.1.11.3.5</v>
      </c>
      <c r="D44" t="str">
        <f t="shared" si="3"/>
        <v>Berubah</v>
      </c>
      <c r="E44" t="str">
        <f t="shared" si="4"/>
        <v>1.3.1.01.01.03.005</v>
      </c>
      <c r="F44" s="1">
        <v>39</v>
      </c>
      <c r="G44" s="19">
        <v>1</v>
      </c>
      <c r="H44" s="19">
        <v>3</v>
      </c>
      <c r="I44" s="19">
        <v>1</v>
      </c>
      <c r="J44" s="20" t="s">
        <v>13</v>
      </c>
      <c r="K44" s="20" t="s">
        <v>13</v>
      </c>
      <c r="L44" s="20" t="s">
        <v>24</v>
      </c>
      <c r="M44" s="20" t="s">
        <v>28</v>
      </c>
      <c r="N44" s="21" t="s">
        <v>78</v>
      </c>
      <c r="O44" s="1" t="b">
        <f t="shared" si="5"/>
        <v>0</v>
      </c>
      <c r="R44" s="1">
        <v>39</v>
      </c>
      <c r="S44" s="42">
        <v>1</v>
      </c>
      <c r="T44" s="42">
        <v>1</v>
      </c>
      <c r="U44" s="42">
        <v>11</v>
      </c>
      <c r="V44" s="42">
        <v>3</v>
      </c>
      <c r="W44" s="42">
        <v>5</v>
      </c>
      <c r="X44" s="22" t="s">
        <v>79</v>
      </c>
      <c r="Y44" s="23" t="s">
        <v>16</v>
      </c>
      <c r="Z44" s="23">
        <v>35</v>
      </c>
    </row>
    <row r="45" spans="1:26" s="1" customFormat="1" ht="15.75" x14ac:dyDescent="0.25">
      <c r="B45" t="s">
        <v>504</v>
      </c>
      <c r="C45" t="str">
        <f t="shared" si="2"/>
        <v>1.1.11.3.6</v>
      </c>
      <c r="D45" t="str">
        <f t="shared" si="3"/>
        <v>Keluar</v>
      </c>
      <c r="E45" t="str">
        <f t="shared" si="4"/>
        <v>......</v>
      </c>
      <c r="F45" s="14">
        <v>40</v>
      </c>
      <c r="G45" s="24"/>
      <c r="H45" s="24"/>
      <c r="I45" s="24"/>
      <c r="J45" s="25"/>
      <c r="K45" s="25"/>
      <c r="L45" s="25"/>
      <c r="M45" s="25"/>
      <c r="N45" s="26"/>
      <c r="O45" s="14" t="b">
        <f t="shared" si="5"/>
        <v>0</v>
      </c>
      <c r="P45" s="14"/>
      <c r="Q45" s="14"/>
      <c r="R45" s="14">
        <v>40</v>
      </c>
      <c r="S45" s="43">
        <v>1</v>
      </c>
      <c r="T45" s="43">
        <v>1</v>
      </c>
      <c r="U45" s="43">
        <v>11</v>
      </c>
      <c r="V45" s="43">
        <v>3</v>
      </c>
      <c r="W45" s="43">
        <v>6</v>
      </c>
      <c r="X45" s="27" t="s">
        <v>80</v>
      </c>
      <c r="Y45" s="29" t="s">
        <v>16</v>
      </c>
      <c r="Z45" s="29">
        <v>36</v>
      </c>
    </row>
    <row r="46" spans="1:26" s="1" customFormat="1" ht="15.75" x14ac:dyDescent="0.25">
      <c r="B46" t="s">
        <v>505</v>
      </c>
      <c r="C46" t="str">
        <f t="shared" si="2"/>
        <v>1.1.11.3.7</v>
      </c>
      <c r="D46" t="str">
        <f t="shared" si="3"/>
        <v>Berubah</v>
      </c>
      <c r="E46" t="str">
        <f t="shared" si="4"/>
        <v>1.3.1.01.01.03.006</v>
      </c>
      <c r="F46" s="1">
        <v>41</v>
      </c>
      <c r="G46" s="19">
        <v>1</v>
      </c>
      <c r="H46" s="19">
        <v>3</v>
      </c>
      <c r="I46" s="19">
        <v>1</v>
      </c>
      <c r="J46" s="20" t="s">
        <v>13</v>
      </c>
      <c r="K46" s="20" t="s">
        <v>13</v>
      </c>
      <c r="L46" s="20" t="s">
        <v>24</v>
      </c>
      <c r="M46" s="20" t="s">
        <v>31</v>
      </c>
      <c r="N46" s="21" t="s">
        <v>81</v>
      </c>
      <c r="O46" s="1" t="b">
        <f t="shared" si="5"/>
        <v>0</v>
      </c>
      <c r="R46" s="1">
        <v>41</v>
      </c>
      <c r="S46" s="42">
        <v>1</v>
      </c>
      <c r="T46" s="42">
        <v>1</v>
      </c>
      <c r="U46" s="42">
        <v>11</v>
      </c>
      <c r="V46" s="42">
        <v>3</v>
      </c>
      <c r="W46" s="42">
        <v>7</v>
      </c>
      <c r="X46" s="22" t="s">
        <v>82</v>
      </c>
      <c r="Y46" s="23" t="s">
        <v>16</v>
      </c>
      <c r="Z46" s="23">
        <v>37</v>
      </c>
    </row>
    <row r="47" spans="1:26" s="1" customFormat="1" ht="15.75" x14ac:dyDescent="0.25">
      <c r="B47" t="s">
        <v>506</v>
      </c>
      <c r="C47" t="str">
        <f t="shared" si="2"/>
        <v>1.1.11.3.8</v>
      </c>
      <c r="D47" t="str">
        <f t="shared" si="3"/>
        <v>Berubah</v>
      </c>
      <c r="E47" t="str">
        <f t="shared" si="4"/>
        <v>1.3.1.01.01.03.007</v>
      </c>
      <c r="F47">
        <v>42</v>
      </c>
      <c r="G47" s="9">
        <v>1</v>
      </c>
      <c r="H47" s="9">
        <v>3</v>
      </c>
      <c r="I47" s="9">
        <v>1</v>
      </c>
      <c r="J47" s="10" t="s">
        <v>13</v>
      </c>
      <c r="K47" s="10" t="s">
        <v>13</v>
      </c>
      <c r="L47" s="10" t="s">
        <v>24</v>
      </c>
      <c r="M47" s="10" t="s">
        <v>34</v>
      </c>
      <c r="N47" s="18" t="s">
        <v>83</v>
      </c>
      <c r="O47" t="b">
        <f t="shared" si="5"/>
        <v>1</v>
      </c>
      <c r="P47"/>
      <c r="Q47"/>
      <c r="R47">
        <v>42</v>
      </c>
      <c r="S47" s="41">
        <v>1</v>
      </c>
      <c r="T47" s="41">
        <v>1</v>
      </c>
      <c r="U47" s="41">
        <v>11</v>
      </c>
      <c r="V47" s="41">
        <v>3</v>
      </c>
      <c r="W47" s="41">
        <v>8</v>
      </c>
      <c r="X47" s="16" t="s">
        <v>83</v>
      </c>
      <c r="Y47" s="17" t="s">
        <v>16</v>
      </c>
      <c r="Z47" s="17">
        <v>38</v>
      </c>
    </row>
    <row r="48" spans="1:26" s="14" customFormat="1" ht="15.75" x14ac:dyDescent="0.25">
      <c r="A48" s="1"/>
      <c r="B48" t="s">
        <v>507</v>
      </c>
      <c r="C48" t="str">
        <f t="shared" si="2"/>
        <v>1.1.11.3.9</v>
      </c>
      <c r="D48" t="str">
        <f t="shared" si="3"/>
        <v>Berubah</v>
      </c>
      <c r="E48" t="str">
        <f t="shared" si="4"/>
        <v>1.3.1.01.01.03.008</v>
      </c>
      <c r="F48">
        <v>43</v>
      </c>
      <c r="G48" s="9">
        <v>1</v>
      </c>
      <c r="H48" s="9">
        <v>3</v>
      </c>
      <c r="I48" s="9">
        <v>1</v>
      </c>
      <c r="J48" s="10" t="s">
        <v>13</v>
      </c>
      <c r="K48" s="10" t="s">
        <v>13</v>
      </c>
      <c r="L48" s="10" t="s">
        <v>24</v>
      </c>
      <c r="M48" s="10" t="s">
        <v>37</v>
      </c>
      <c r="N48" s="18" t="s">
        <v>84</v>
      </c>
      <c r="O48" t="b">
        <f t="shared" si="5"/>
        <v>1</v>
      </c>
      <c r="P48"/>
      <c r="Q48"/>
      <c r="R48">
        <v>43</v>
      </c>
      <c r="S48" s="41">
        <v>1</v>
      </c>
      <c r="T48" s="41">
        <v>1</v>
      </c>
      <c r="U48" s="41">
        <v>11</v>
      </c>
      <c r="V48" s="41">
        <v>3</v>
      </c>
      <c r="W48" s="41">
        <v>9</v>
      </c>
      <c r="X48" s="16" t="s">
        <v>84</v>
      </c>
      <c r="Y48" s="17" t="s">
        <v>16</v>
      </c>
      <c r="Z48" s="17">
        <v>39</v>
      </c>
    </row>
    <row r="49" spans="1:26" s="14" customFormat="1" x14ac:dyDescent="0.25">
      <c r="A49" s="1"/>
      <c r="B49" t="s">
        <v>469</v>
      </c>
      <c r="C49" t="str">
        <f t="shared" si="2"/>
        <v>....</v>
      </c>
      <c r="D49" t="str">
        <f t="shared" si="3"/>
        <v>Bertambah</v>
      </c>
      <c r="E49" t="str">
        <f t="shared" si="4"/>
        <v>1.3.1.01.01.03.009</v>
      </c>
      <c r="F49" s="14">
        <v>44</v>
      </c>
      <c r="G49" s="24">
        <v>1</v>
      </c>
      <c r="H49" s="24">
        <v>3</v>
      </c>
      <c r="I49" s="24">
        <v>1</v>
      </c>
      <c r="J49" s="25" t="s">
        <v>13</v>
      </c>
      <c r="K49" s="25" t="s">
        <v>13</v>
      </c>
      <c r="L49" s="25" t="s">
        <v>24</v>
      </c>
      <c r="M49" s="25" t="s">
        <v>40</v>
      </c>
      <c r="N49" s="26" t="s">
        <v>85</v>
      </c>
      <c r="O49" s="14" t="b">
        <f t="shared" si="5"/>
        <v>0</v>
      </c>
      <c r="R49" s="14">
        <v>44</v>
      </c>
      <c r="S49" s="28"/>
      <c r="T49" s="28"/>
      <c r="U49" s="28"/>
      <c r="V49" s="28"/>
      <c r="W49" s="28"/>
      <c r="X49" s="28"/>
      <c r="Y49" s="28"/>
      <c r="Z49" s="28"/>
    </row>
    <row r="50" spans="1:26" s="14" customFormat="1" ht="15.75" x14ac:dyDescent="0.25">
      <c r="A50" s="1"/>
      <c r="B50" t="s">
        <v>508</v>
      </c>
      <c r="C50" t="str">
        <f t="shared" si="2"/>
        <v>1.1.11.3.15</v>
      </c>
      <c r="D50" t="str">
        <f t="shared" si="3"/>
        <v>Berubah</v>
      </c>
      <c r="E50" t="str">
        <f t="shared" si="4"/>
        <v>1.3.1.01.01.03.010</v>
      </c>
      <c r="F50">
        <v>45</v>
      </c>
      <c r="G50" s="9">
        <v>1</v>
      </c>
      <c r="H50" s="9">
        <v>3</v>
      </c>
      <c r="I50" s="9">
        <v>1</v>
      </c>
      <c r="J50" s="10" t="s">
        <v>13</v>
      </c>
      <c r="K50" s="10" t="s">
        <v>13</v>
      </c>
      <c r="L50" s="10" t="s">
        <v>24</v>
      </c>
      <c r="M50" s="10" t="s">
        <v>43</v>
      </c>
      <c r="N50" s="18" t="s">
        <v>86</v>
      </c>
      <c r="O50" t="b">
        <f t="shared" si="5"/>
        <v>1</v>
      </c>
      <c r="P50"/>
      <c r="Q50"/>
      <c r="R50">
        <v>45</v>
      </c>
      <c r="S50" s="41">
        <v>1</v>
      </c>
      <c r="T50" s="41">
        <v>1</v>
      </c>
      <c r="U50" s="41">
        <v>11</v>
      </c>
      <c r="V50" s="41">
        <v>3</v>
      </c>
      <c r="W50" s="41">
        <v>15</v>
      </c>
      <c r="X50" s="16" t="s">
        <v>87</v>
      </c>
      <c r="Y50" s="17" t="s">
        <v>16</v>
      </c>
      <c r="Z50" s="17">
        <v>45</v>
      </c>
    </row>
    <row r="51" spans="1:26" s="1" customFormat="1" ht="15.75" x14ac:dyDescent="0.25">
      <c r="B51" t="s">
        <v>509</v>
      </c>
      <c r="C51" t="str">
        <f t="shared" si="2"/>
        <v>1.1.11.3.10</v>
      </c>
      <c r="D51" t="str">
        <f t="shared" si="3"/>
        <v>Berubah</v>
      </c>
      <c r="E51" t="str">
        <f t="shared" si="4"/>
        <v>1.3.1.01.01.03.011</v>
      </c>
      <c r="F51">
        <v>46</v>
      </c>
      <c r="G51" s="9">
        <v>1</v>
      </c>
      <c r="H51" s="9">
        <v>3</v>
      </c>
      <c r="I51" s="9">
        <v>1</v>
      </c>
      <c r="J51" s="10" t="s">
        <v>13</v>
      </c>
      <c r="K51" s="10" t="s">
        <v>13</v>
      </c>
      <c r="L51" s="10" t="s">
        <v>24</v>
      </c>
      <c r="M51" s="10" t="s">
        <v>46</v>
      </c>
      <c r="N51" s="18" t="s">
        <v>88</v>
      </c>
      <c r="O51" t="b">
        <f t="shared" si="5"/>
        <v>1</v>
      </c>
      <c r="P51"/>
      <c r="Q51"/>
      <c r="R51">
        <v>46</v>
      </c>
      <c r="S51" s="41">
        <v>1</v>
      </c>
      <c r="T51" s="41">
        <v>1</v>
      </c>
      <c r="U51" s="41">
        <v>11</v>
      </c>
      <c r="V51" s="41">
        <v>3</v>
      </c>
      <c r="W51" s="41">
        <v>10</v>
      </c>
      <c r="X51" s="16" t="s">
        <v>88</v>
      </c>
      <c r="Y51" s="17" t="s">
        <v>16</v>
      </c>
      <c r="Z51" s="17">
        <v>40</v>
      </c>
    </row>
    <row r="52" spans="1:26" s="1" customFormat="1" ht="15.75" x14ac:dyDescent="0.25">
      <c r="B52" t="s">
        <v>510</v>
      </c>
      <c r="C52" t="str">
        <f t="shared" si="2"/>
        <v>1.1.11.3.11</v>
      </c>
      <c r="D52" t="str">
        <f t="shared" si="3"/>
        <v>Berubah</v>
      </c>
      <c r="E52" t="str">
        <f t="shared" si="4"/>
        <v>1.3.1.01.01.03.012</v>
      </c>
      <c r="F52" s="1">
        <v>47</v>
      </c>
      <c r="G52" s="19">
        <v>1</v>
      </c>
      <c r="H52" s="19">
        <v>3</v>
      </c>
      <c r="I52" s="19">
        <v>1</v>
      </c>
      <c r="J52" s="20" t="s">
        <v>13</v>
      </c>
      <c r="K52" s="20" t="s">
        <v>13</v>
      </c>
      <c r="L52" s="20" t="s">
        <v>24</v>
      </c>
      <c r="M52" s="20" t="s">
        <v>49</v>
      </c>
      <c r="N52" s="21" t="s">
        <v>89</v>
      </c>
      <c r="O52" s="1" t="b">
        <f t="shared" si="5"/>
        <v>0</v>
      </c>
      <c r="R52" s="1">
        <v>47</v>
      </c>
      <c r="S52" s="42">
        <v>1</v>
      </c>
      <c r="T52" s="42">
        <v>1</v>
      </c>
      <c r="U52" s="42">
        <v>11</v>
      </c>
      <c r="V52" s="42">
        <v>3</v>
      </c>
      <c r="W52" s="42">
        <v>11</v>
      </c>
      <c r="X52" s="22" t="s">
        <v>90</v>
      </c>
      <c r="Y52" s="23" t="s">
        <v>16</v>
      </c>
      <c r="Z52" s="23">
        <v>41</v>
      </c>
    </row>
    <row r="53" spans="1:26" s="14" customFormat="1" ht="15.75" x14ac:dyDescent="0.25">
      <c r="A53" s="1"/>
      <c r="B53" t="s">
        <v>511</v>
      </c>
      <c r="C53" t="str">
        <f t="shared" si="2"/>
        <v>1.1.11.3.12</v>
      </c>
      <c r="D53" t="str">
        <f t="shared" si="3"/>
        <v>Berubah</v>
      </c>
      <c r="E53" t="str">
        <f t="shared" si="4"/>
        <v>1.3.1.01.01.03.013</v>
      </c>
      <c r="F53">
        <v>48</v>
      </c>
      <c r="G53" s="9">
        <v>1</v>
      </c>
      <c r="H53" s="9">
        <v>3</v>
      </c>
      <c r="I53" s="9">
        <v>1</v>
      </c>
      <c r="J53" s="10" t="s">
        <v>13</v>
      </c>
      <c r="K53" s="10" t="s">
        <v>13</v>
      </c>
      <c r="L53" s="10" t="s">
        <v>24</v>
      </c>
      <c r="M53" s="10" t="s">
        <v>66</v>
      </c>
      <c r="N53" s="18" t="s">
        <v>91</v>
      </c>
      <c r="O53" t="b">
        <f t="shared" si="5"/>
        <v>1</v>
      </c>
      <c r="P53"/>
      <c r="Q53"/>
      <c r="R53">
        <v>48</v>
      </c>
      <c r="S53" s="41">
        <v>1</v>
      </c>
      <c r="T53" s="41">
        <v>1</v>
      </c>
      <c r="U53" s="41">
        <v>11</v>
      </c>
      <c r="V53" s="41">
        <v>3</v>
      </c>
      <c r="W53" s="41">
        <v>12</v>
      </c>
      <c r="X53" s="16" t="s">
        <v>91</v>
      </c>
      <c r="Y53" s="17" t="s">
        <v>16</v>
      </c>
      <c r="Z53" s="17">
        <v>42</v>
      </c>
    </row>
    <row r="54" spans="1:26" s="14" customFormat="1" ht="15.75" x14ac:dyDescent="0.25">
      <c r="A54" s="1"/>
      <c r="B54" t="s">
        <v>512</v>
      </c>
      <c r="C54" t="str">
        <f t="shared" si="2"/>
        <v>1.1.11.3.13</v>
      </c>
      <c r="D54" t="str">
        <f t="shared" si="3"/>
        <v>Berubah</v>
      </c>
      <c r="E54" t="str">
        <f t="shared" si="4"/>
        <v>1.3.1.01.01.03.014</v>
      </c>
      <c r="F54">
        <v>49</v>
      </c>
      <c r="G54" s="9">
        <v>1</v>
      </c>
      <c r="H54" s="9">
        <v>3</v>
      </c>
      <c r="I54" s="9">
        <v>1</v>
      </c>
      <c r="J54" s="10" t="s">
        <v>13</v>
      </c>
      <c r="K54" s="10" t="s">
        <v>13</v>
      </c>
      <c r="L54" s="10" t="s">
        <v>24</v>
      </c>
      <c r="M54" s="10" t="s">
        <v>68</v>
      </c>
      <c r="N54" s="18" t="s">
        <v>92</v>
      </c>
      <c r="O54" t="b">
        <f t="shared" si="5"/>
        <v>1</v>
      </c>
      <c r="P54"/>
      <c r="Q54"/>
      <c r="R54">
        <v>49</v>
      </c>
      <c r="S54" s="41">
        <v>1</v>
      </c>
      <c r="T54" s="41">
        <v>1</v>
      </c>
      <c r="U54" s="41">
        <v>11</v>
      </c>
      <c r="V54" s="41">
        <v>3</v>
      </c>
      <c r="W54" s="41">
        <v>13</v>
      </c>
      <c r="X54" s="16" t="s">
        <v>92</v>
      </c>
      <c r="Y54" s="17" t="s">
        <v>16</v>
      </c>
      <c r="Z54" s="17">
        <v>43</v>
      </c>
    </row>
    <row r="55" spans="1:26" s="14" customFormat="1" ht="15.75" x14ac:dyDescent="0.25">
      <c r="A55" s="1"/>
      <c r="B55" t="s">
        <v>513</v>
      </c>
      <c r="C55" t="str">
        <f t="shared" si="2"/>
        <v>1.1.11.3.14</v>
      </c>
      <c r="D55" t="str">
        <f t="shared" si="3"/>
        <v>Berubah</v>
      </c>
      <c r="E55" t="str">
        <f t="shared" si="4"/>
        <v>1.3.1.01.01.03.015</v>
      </c>
      <c r="F55">
        <v>50</v>
      </c>
      <c r="G55" s="9">
        <v>1</v>
      </c>
      <c r="H55" s="9">
        <v>3</v>
      </c>
      <c r="I55" s="9">
        <v>1</v>
      </c>
      <c r="J55" s="10" t="s">
        <v>13</v>
      </c>
      <c r="K55" s="10" t="s">
        <v>13</v>
      </c>
      <c r="L55" s="10" t="s">
        <v>24</v>
      </c>
      <c r="M55" s="10" t="s">
        <v>71</v>
      </c>
      <c r="N55" s="18" t="s">
        <v>93</v>
      </c>
      <c r="O55" t="b">
        <f t="shared" si="5"/>
        <v>1</v>
      </c>
      <c r="P55"/>
      <c r="Q55"/>
      <c r="R55">
        <v>50</v>
      </c>
      <c r="S55" s="41">
        <v>1</v>
      </c>
      <c r="T55" s="41">
        <v>1</v>
      </c>
      <c r="U55" s="41">
        <v>11</v>
      </c>
      <c r="V55" s="41">
        <v>3</v>
      </c>
      <c r="W55" s="41">
        <v>14</v>
      </c>
      <c r="X55" s="16" t="s">
        <v>93</v>
      </c>
      <c r="Y55" s="17" t="s">
        <v>16</v>
      </c>
      <c r="Z55" s="17">
        <v>44</v>
      </c>
    </row>
    <row r="56" spans="1:26" s="14" customFormat="1" ht="15.75" x14ac:dyDescent="0.25">
      <c r="A56" s="1"/>
      <c r="B56" t="s">
        <v>514</v>
      </c>
      <c r="C56" t="str">
        <f t="shared" si="2"/>
        <v>1.1.11.3.16</v>
      </c>
      <c r="D56" t="str">
        <f t="shared" si="3"/>
        <v>Berubah</v>
      </c>
      <c r="E56" t="str">
        <f t="shared" si="4"/>
        <v>1.3.1.01.01.03.016</v>
      </c>
      <c r="F56">
        <v>51</v>
      </c>
      <c r="G56" s="9">
        <v>1</v>
      </c>
      <c r="H56" s="9">
        <v>3</v>
      </c>
      <c r="I56" s="9">
        <v>1</v>
      </c>
      <c r="J56" s="10" t="s">
        <v>13</v>
      </c>
      <c r="K56" s="10" t="s">
        <v>13</v>
      </c>
      <c r="L56" s="10" t="s">
        <v>24</v>
      </c>
      <c r="M56" s="10" t="s">
        <v>94</v>
      </c>
      <c r="N56" s="18" t="s">
        <v>95</v>
      </c>
      <c r="O56" t="b">
        <f t="shared" si="5"/>
        <v>1</v>
      </c>
      <c r="P56"/>
      <c r="Q56"/>
      <c r="R56">
        <v>51</v>
      </c>
      <c r="S56" s="41">
        <v>1</v>
      </c>
      <c r="T56" s="41">
        <v>1</v>
      </c>
      <c r="U56" s="41">
        <v>11</v>
      </c>
      <c r="V56" s="41">
        <v>3</v>
      </c>
      <c r="W56" s="41">
        <v>16</v>
      </c>
      <c r="X56" s="16" t="s">
        <v>95</v>
      </c>
      <c r="Y56" s="17" t="s">
        <v>16</v>
      </c>
      <c r="Z56" s="17">
        <v>46</v>
      </c>
    </row>
    <row r="57" spans="1:26" s="14" customFormat="1" ht="15.75" x14ac:dyDescent="0.25">
      <c r="A57" s="1"/>
      <c r="B57" t="s">
        <v>515</v>
      </c>
      <c r="C57" t="str">
        <f t="shared" si="2"/>
        <v>1.1.11.3.17</v>
      </c>
      <c r="D57" t="str">
        <f t="shared" si="3"/>
        <v>Berubah</v>
      </c>
      <c r="E57" t="str">
        <f t="shared" si="4"/>
        <v>1.3.1.01.01.03.017</v>
      </c>
      <c r="F57">
        <v>52</v>
      </c>
      <c r="G57" s="9">
        <v>1</v>
      </c>
      <c r="H57" s="9">
        <v>3</v>
      </c>
      <c r="I57" s="9">
        <v>1</v>
      </c>
      <c r="J57" s="10" t="s">
        <v>13</v>
      </c>
      <c r="K57" s="10" t="s">
        <v>13</v>
      </c>
      <c r="L57" s="10" t="s">
        <v>24</v>
      </c>
      <c r="M57" s="10" t="s">
        <v>96</v>
      </c>
      <c r="N57" s="18" t="s">
        <v>97</v>
      </c>
      <c r="O57" t="b">
        <f t="shared" si="5"/>
        <v>1</v>
      </c>
      <c r="P57"/>
      <c r="Q57"/>
      <c r="R57">
        <v>52</v>
      </c>
      <c r="S57" s="41">
        <v>1</v>
      </c>
      <c r="T57" s="41">
        <v>1</v>
      </c>
      <c r="U57" s="41">
        <v>11</v>
      </c>
      <c r="V57" s="41">
        <v>3</v>
      </c>
      <c r="W57" s="41">
        <v>17</v>
      </c>
      <c r="X57" s="16" t="s">
        <v>97</v>
      </c>
      <c r="Y57" s="17" t="s">
        <v>16</v>
      </c>
      <c r="Z57" s="17">
        <v>47</v>
      </c>
    </row>
    <row r="58" spans="1:26" s="14" customFormat="1" ht="15.75" x14ac:dyDescent="0.25">
      <c r="A58" s="1"/>
      <c r="B58" t="s">
        <v>516</v>
      </c>
      <c r="C58" t="str">
        <f t="shared" si="2"/>
        <v>1.1.11.3.19</v>
      </c>
      <c r="D58" t="str">
        <f t="shared" si="3"/>
        <v>Berubah</v>
      </c>
      <c r="E58" t="str">
        <f t="shared" si="4"/>
        <v>1.3.1.01.01.03.018</v>
      </c>
      <c r="F58">
        <v>53</v>
      </c>
      <c r="G58" s="9">
        <v>1</v>
      </c>
      <c r="H58" s="9">
        <v>3</v>
      </c>
      <c r="I58" s="9">
        <v>1</v>
      </c>
      <c r="J58" s="10" t="s">
        <v>13</v>
      </c>
      <c r="K58" s="10" t="s">
        <v>13</v>
      </c>
      <c r="L58" s="10" t="s">
        <v>24</v>
      </c>
      <c r="M58" s="10" t="s">
        <v>98</v>
      </c>
      <c r="N58" s="18" t="s">
        <v>99</v>
      </c>
      <c r="O58" t="b">
        <f t="shared" si="5"/>
        <v>1</v>
      </c>
      <c r="P58"/>
      <c r="Q58"/>
      <c r="R58">
        <v>53</v>
      </c>
      <c r="S58" s="41">
        <v>1</v>
      </c>
      <c r="T58" s="41">
        <v>1</v>
      </c>
      <c r="U58" s="41">
        <v>11</v>
      </c>
      <c r="V58" s="41">
        <v>3</v>
      </c>
      <c r="W58" s="41">
        <v>19</v>
      </c>
      <c r="X58" s="16" t="s">
        <v>99</v>
      </c>
      <c r="Y58" s="17" t="s">
        <v>16</v>
      </c>
      <c r="Z58" s="17">
        <v>48</v>
      </c>
    </row>
    <row r="59" spans="1:26" s="14" customFormat="1" ht="15.75" x14ac:dyDescent="0.25">
      <c r="A59" s="1"/>
      <c r="B59" t="s">
        <v>517</v>
      </c>
      <c r="C59" t="str">
        <f t="shared" si="2"/>
        <v>1.1.11.3.20</v>
      </c>
      <c r="D59" t="str">
        <f t="shared" si="3"/>
        <v>Berubah</v>
      </c>
      <c r="E59" t="str">
        <f t="shared" si="4"/>
        <v>1.3.1.01.01.03.019</v>
      </c>
      <c r="F59">
        <v>54</v>
      </c>
      <c r="G59" s="9">
        <v>1</v>
      </c>
      <c r="H59" s="9">
        <v>3</v>
      </c>
      <c r="I59" s="9">
        <v>1</v>
      </c>
      <c r="J59" s="10" t="s">
        <v>13</v>
      </c>
      <c r="K59" s="10" t="s">
        <v>13</v>
      </c>
      <c r="L59" s="10" t="s">
        <v>24</v>
      </c>
      <c r="M59" s="10" t="s">
        <v>100</v>
      </c>
      <c r="N59" s="18" t="s">
        <v>101</v>
      </c>
      <c r="O59" t="b">
        <f t="shared" si="5"/>
        <v>1</v>
      </c>
      <c r="P59"/>
      <c r="Q59"/>
      <c r="R59">
        <v>54</v>
      </c>
      <c r="S59" s="41">
        <v>1</v>
      </c>
      <c r="T59" s="41">
        <v>1</v>
      </c>
      <c r="U59" s="41">
        <v>11</v>
      </c>
      <c r="V59" s="41">
        <v>3</v>
      </c>
      <c r="W59" s="41">
        <v>20</v>
      </c>
      <c r="X59" s="16" t="s">
        <v>101</v>
      </c>
      <c r="Y59" s="17" t="s">
        <v>16</v>
      </c>
      <c r="Z59" s="17">
        <v>49</v>
      </c>
    </row>
    <row r="60" spans="1:26" s="14" customFormat="1" ht="15.75" x14ac:dyDescent="0.25">
      <c r="A60" s="1"/>
      <c r="B60" t="s">
        <v>518</v>
      </c>
      <c r="C60" t="str">
        <f t="shared" si="2"/>
        <v>1.1.11.3.21</v>
      </c>
      <c r="D60" t="str">
        <f t="shared" si="3"/>
        <v>Berubah</v>
      </c>
      <c r="E60" t="str">
        <f t="shared" si="4"/>
        <v>1.3.1.01.01.03.020</v>
      </c>
      <c r="F60">
        <v>55</v>
      </c>
      <c r="G60" s="9">
        <v>1</v>
      </c>
      <c r="H60" s="9">
        <v>3</v>
      </c>
      <c r="I60" s="9">
        <v>1</v>
      </c>
      <c r="J60" s="10" t="s">
        <v>13</v>
      </c>
      <c r="K60" s="10" t="s">
        <v>13</v>
      </c>
      <c r="L60" s="10" t="s">
        <v>24</v>
      </c>
      <c r="M60" s="10" t="s">
        <v>102</v>
      </c>
      <c r="N60" s="18" t="s">
        <v>103</v>
      </c>
      <c r="O60" t="b">
        <f t="shared" si="5"/>
        <v>1</v>
      </c>
      <c r="P60"/>
      <c r="Q60"/>
      <c r="R60">
        <v>55</v>
      </c>
      <c r="S60" s="41">
        <v>1</v>
      </c>
      <c r="T60" s="41">
        <v>1</v>
      </c>
      <c r="U60" s="41">
        <v>11</v>
      </c>
      <c r="V60" s="41">
        <v>3</v>
      </c>
      <c r="W60" s="41">
        <v>21</v>
      </c>
      <c r="X60" s="16" t="s">
        <v>103</v>
      </c>
      <c r="Y60" s="17" t="s">
        <v>16</v>
      </c>
      <c r="Z60" s="17">
        <v>50</v>
      </c>
    </row>
    <row r="61" spans="1:26" s="1" customFormat="1" ht="15.75" x14ac:dyDescent="0.25">
      <c r="B61" t="s">
        <v>519</v>
      </c>
      <c r="C61" t="str">
        <f t="shared" si="2"/>
        <v>1.1.11.3.22</v>
      </c>
      <c r="D61" t="str">
        <f t="shared" si="3"/>
        <v>Berubah</v>
      </c>
      <c r="E61" t="str">
        <f t="shared" si="4"/>
        <v>1.3.1.01.01.03.021</v>
      </c>
      <c r="F61" s="1">
        <v>56</v>
      </c>
      <c r="G61" s="19">
        <v>1</v>
      </c>
      <c r="H61" s="19">
        <v>3</v>
      </c>
      <c r="I61" s="19">
        <v>1</v>
      </c>
      <c r="J61" s="20" t="s">
        <v>13</v>
      </c>
      <c r="K61" s="20" t="s">
        <v>13</v>
      </c>
      <c r="L61" s="20" t="s">
        <v>24</v>
      </c>
      <c r="M61" s="20" t="s">
        <v>104</v>
      </c>
      <c r="N61" s="21" t="s">
        <v>105</v>
      </c>
      <c r="O61" s="1" t="b">
        <f t="shared" si="5"/>
        <v>0</v>
      </c>
      <c r="R61" s="1">
        <v>56</v>
      </c>
      <c r="S61" s="42">
        <v>1</v>
      </c>
      <c r="T61" s="42">
        <v>1</v>
      </c>
      <c r="U61" s="42">
        <v>11</v>
      </c>
      <c r="V61" s="42">
        <v>3</v>
      </c>
      <c r="W61" s="42">
        <v>22</v>
      </c>
      <c r="X61" s="22" t="s">
        <v>106</v>
      </c>
      <c r="Y61" s="23" t="s">
        <v>16</v>
      </c>
      <c r="Z61" s="23">
        <v>51</v>
      </c>
    </row>
    <row r="62" spans="1:26" s="1" customFormat="1" ht="15.75" x14ac:dyDescent="0.25">
      <c r="B62" t="s">
        <v>520</v>
      </c>
      <c r="C62" t="str">
        <f t="shared" si="2"/>
        <v>1.1.11.3.23</v>
      </c>
      <c r="D62" t="str">
        <f t="shared" si="3"/>
        <v>Berubah</v>
      </c>
      <c r="E62" t="str">
        <f t="shared" si="4"/>
        <v>1.3.1.01.01.03.022</v>
      </c>
      <c r="F62" s="1">
        <v>57</v>
      </c>
      <c r="G62" s="19">
        <v>1</v>
      </c>
      <c r="H62" s="19">
        <v>3</v>
      </c>
      <c r="I62" s="19">
        <v>1</v>
      </c>
      <c r="J62" s="20" t="s">
        <v>13</v>
      </c>
      <c r="K62" s="20" t="s">
        <v>13</v>
      </c>
      <c r="L62" s="20" t="s">
        <v>24</v>
      </c>
      <c r="M62" s="20" t="s">
        <v>107</v>
      </c>
      <c r="N62" s="21" t="s">
        <v>108</v>
      </c>
      <c r="O62" s="1" t="b">
        <f t="shared" si="5"/>
        <v>0</v>
      </c>
      <c r="R62" s="1">
        <v>57</v>
      </c>
      <c r="S62" s="42">
        <v>1</v>
      </c>
      <c r="T62" s="42">
        <v>1</v>
      </c>
      <c r="U62" s="42">
        <v>11</v>
      </c>
      <c r="V62" s="42">
        <v>3</v>
      </c>
      <c r="W62" s="42">
        <v>23</v>
      </c>
      <c r="X62" s="22" t="s">
        <v>109</v>
      </c>
      <c r="Y62" s="23" t="s">
        <v>16</v>
      </c>
      <c r="Z62" s="23">
        <v>52</v>
      </c>
    </row>
    <row r="63" spans="1:26" s="14" customFormat="1" x14ac:dyDescent="0.25">
      <c r="A63" s="1"/>
      <c r="B63" t="s">
        <v>469</v>
      </c>
      <c r="C63" t="str">
        <f t="shared" si="2"/>
        <v>....</v>
      </c>
      <c r="D63" t="str">
        <f t="shared" si="3"/>
        <v>Bertambah</v>
      </c>
      <c r="E63" t="str">
        <f t="shared" si="4"/>
        <v>1.3.1.01.01.03.023</v>
      </c>
      <c r="F63" s="14">
        <v>58</v>
      </c>
      <c r="G63" s="24">
        <v>1</v>
      </c>
      <c r="H63" s="24">
        <v>3</v>
      </c>
      <c r="I63" s="24">
        <v>1</v>
      </c>
      <c r="J63" s="25" t="s">
        <v>13</v>
      </c>
      <c r="K63" s="25" t="s">
        <v>13</v>
      </c>
      <c r="L63" s="25" t="s">
        <v>24</v>
      </c>
      <c r="M63" s="25" t="s">
        <v>110</v>
      </c>
      <c r="N63" s="26" t="s">
        <v>111</v>
      </c>
      <c r="O63" s="14" t="b">
        <f t="shared" si="5"/>
        <v>0</v>
      </c>
      <c r="R63" s="14">
        <v>58</v>
      </c>
      <c r="S63" s="28"/>
      <c r="T63" s="28"/>
      <c r="U63" s="28"/>
      <c r="V63" s="28"/>
      <c r="W63" s="28"/>
      <c r="X63" s="28"/>
      <c r="Y63" s="28"/>
      <c r="Z63" s="28"/>
    </row>
    <row r="64" spans="1:26" s="1" customFormat="1" ht="15.75" x14ac:dyDescent="0.25">
      <c r="B64" t="s">
        <v>521</v>
      </c>
      <c r="C64" t="str">
        <f t="shared" si="2"/>
        <v>1.1.11.3.24</v>
      </c>
      <c r="D64" t="str">
        <f t="shared" si="3"/>
        <v>Berubah</v>
      </c>
      <c r="E64" t="str">
        <f t="shared" si="4"/>
        <v>1.3.1.01.01.03.024</v>
      </c>
      <c r="F64" s="1">
        <v>59</v>
      </c>
      <c r="G64" s="19">
        <v>1</v>
      </c>
      <c r="H64" s="19">
        <v>3</v>
      </c>
      <c r="I64" s="19">
        <v>1</v>
      </c>
      <c r="J64" s="20" t="s">
        <v>13</v>
      </c>
      <c r="K64" s="20" t="s">
        <v>13</v>
      </c>
      <c r="L64" s="20" t="s">
        <v>24</v>
      </c>
      <c r="M64" s="20" t="s">
        <v>112</v>
      </c>
      <c r="N64" s="21" t="s">
        <v>50</v>
      </c>
      <c r="O64" s="1" t="b">
        <f t="shared" si="5"/>
        <v>0</v>
      </c>
      <c r="R64" s="1">
        <v>59</v>
      </c>
      <c r="S64" s="42">
        <v>1</v>
      </c>
      <c r="T64" s="42">
        <v>1</v>
      </c>
      <c r="U64" s="42">
        <v>11</v>
      </c>
      <c r="V64" s="42">
        <v>3</v>
      </c>
      <c r="W64" s="42">
        <v>24</v>
      </c>
      <c r="X64" s="22" t="s">
        <v>113</v>
      </c>
      <c r="Y64" s="23" t="s">
        <v>16</v>
      </c>
      <c r="Z64" s="23">
        <v>53</v>
      </c>
    </row>
    <row r="65" spans="1:26" s="14" customFormat="1" ht="15.75" x14ac:dyDescent="0.25">
      <c r="A65" s="1"/>
      <c r="B65" t="s">
        <v>522</v>
      </c>
      <c r="C65" t="str">
        <f t="shared" si="2"/>
        <v>1.1.11.3.25</v>
      </c>
      <c r="D65" t="str">
        <f t="shared" si="3"/>
        <v>Keluar</v>
      </c>
      <c r="E65" t="str">
        <f t="shared" si="4"/>
        <v>......</v>
      </c>
      <c r="F65" s="14">
        <v>60</v>
      </c>
      <c r="G65" s="28"/>
      <c r="H65" s="28"/>
      <c r="I65" s="28"/>
      <c r="J65" s="28"/>
      <c r="K65" s="28"/>
      <c r="L65" s="28"/>
      <c r="M65" s="28"/>
      <c r="N65" s="30"/>
      <c r="O65" s="14" t="b">
        <f t="shared" si="5"/>
        <v>0</v>
      </c>
      <c r="R65" s="14">
        <v>60</v>
      </c>
      <c r="S65" s="43">
        <v>1</v>
      </c>
      <c r="T65" s="43">
        <v>1</v>
      </c>
      <c r="U65" s="43">
        <v>11</v>
      </c>
      <c r="V65" s="43">
        <v>3</v>
      </c>
      <c r="W65" s="43">
        <v>25</v>
      </c>
      <c r="X65" s="27" t="s">
        <v>48</v>
      </c>
      <c r="Y65" s="29" t="s">
        <v>16</v>
      </c>
      <c r="Z65" s="29">
        <v>54</v>
      </c>
    </row>
    <row r="66" spans="1:26" s="1" customFormat="1" ht="15.75" x14ac:dyDescent="0.25">
      <c r="B66" t="s">
        <v>523</v>
      </c>
      <c r="C66" t="str">
        <f t="shared" si="2"/>
        <v>1.1.11.4.0</v>
      </c>
      <c r="D66" t="str">
        <f t="shared" si="3"/>
        <v>Berubah</v>
      </c>
      <c r="E66" t="str">
        <f t="shared" si="4"/>
        <v>1.3.1.01.01.04.</v>
      </c>
      <c r="F66" s="1">
        <v>61</v>
      </c>
      <c r="G66" s="19">
        <v>1</v>
      </c>
      <c r="H66" s="19">
        <v>3</v>
      </c>
      <c r="I66" s="19">
        <v>1</v>
      </c>
      <c r="J66" s="20" t="s">
        <v>13</v>
      </c>
      <c r="K66" s="20" t="s">
        <v>13</v>
      </c>
      <c r="L66" s="20" t="s">
        <v>27</v>
      </c>
      <c r="M66" s="20"/>
      <c r="N66" s="31" t="s">
        <v>114</v>
      </c>
      <c r="O66" s="1" t="b">
        <f t="shared" si="5"/>
        <v>0</v>
      </c>
      <c r="R66" s="1">
        <v>61</v>
      </c>
      <c r="S66" s="42">
        <v>1</v>
      </c>
      <c r="T66" s="42">
        <v>1</v>
      </c>
      <c r="U66" s="42">
        <v>11</v>
      </c>
      <c r="V66" s="42">
        <v>4</v>
      </c>
      <c r="W66" s="42">
        <v>0</v>
      </c>
      <c r="X66" s="22" t="s">
        <v>115</v>
      </c>
      <c r="Y66" s="23" t="s">
        <v>16</v>
      </c>
      <c r="Z66" s="23">
        <v>55</v>
      </c>
    </row>
    <row r="67" spans="1:26" s="14" customFormat="1" ht="15.75" x14ac:dyDescent="0.25">
      <c r="A67" s="1"/>
      <c r="B67" t="s">
        <v>524</v>
      </c>
      <c r="C67" t="str">
        <f t="shared" si="2"/>
        <v>1.1.11.4.1</v>
      </c>
      <c r="D67" t="str">
        <f t="shared" si="3"/>
        <v>Berubah</v>
      </c>
      <c r="E67" t="str">
        <f t="shared" si="4"/>
        <v>1.3.1.01.01.04.001</v>
      </c>
      <c r="F67">
        <v>62</v>
      </c>
      <c r="G67" s="9">
        <v>1</v>
      </c>
      <c r="H67" s="9">
        <v>3</v>
      </c>
      <c r="I67" s="9">
        <v>1</v>
      </c>
      <c r="J67" s="10" t="s">
        <v>13</v>
      </c>
      <c r="K67" s="10" t="s">
        <v>13</v>
      </c>
      <c r="L67" s="10" t="s">
        <v>27</v>
      </c>
      <c r="M67" s="10" t="s">
        <v>17</v>
      </c>
      <c r="N67" s="18" t="s">
        <v>116</v>
      </c>
      <c r="O67" t="b">
        <f t="shared" si="5"/>
        <v>1</v>
      </c>
      <c r="P67"/>
      <c r="Q67"/>
      <c r="R67">
        <v>62</v>
      </c>
      <c r="S67" s="41">
        <v>1</v>
      </c>
      <c r="T67" s="41">
        <v>1</v>
      </c>
      <c r="U67" s="41">
        <v>11</v>
      </c>
      <c r="V67" s="41">
        <v>4</v>
      </c>
      <c r="W67" s="41">
        <v>1</v>
      </c>
      <c r="X67" s="16" t="s">
        <v>116</v>
      </c>
      <c r="Y67" s="17" t="s">
        <v>16</v>
      </c>
      <c r="Z67" s="17">
        <v>56</v>
      </c>
    </row>
    <row r="68" spans="1:26" s="14" customFormat="1" ht="15.75" x14ac:dyDescent="0.25">
      <c r="A68" s="1"/>
      <c r="B68" t="s">
        <v>525</v>
      </c>
      <c r="C68" t="str">
        <f t="shared" si="2"/>
        <v>1.1.11.4.2</v>
      </c>
      <c r="D68" t="str">
        <f t="shared" si="3"/>
        <v>Berubah</v>
      </c>
      <c r="E68" t="str">
        <f t="shared" si="4"/>
        <v>1.3.1.01.01.04.002</v>
      </c>
      <c r="F68">
        <v>63</v>
      </c>
      <c r="G68" s="9">
        <v>1</v>
      </c>
      <c r="H68" s="9">
        <v>3</v>
      </c>
      <c r="I68" s="9">
        <v>1</v>
      </c>
      <c r="J68" s="10" t="s">
        <v>13</v>
      </c>
      <c r="K68" s="10" t="s">
        <v>13</v>
      </c>
      <c r="L68" s="10" t="s">
        <v>27</v>
      </c>
      <c r="M68" s="10" t="s">
        <v>19</v>
      </c>
      <c r="N68" s="18" t="s">
        <v>117</v>
      </c>
      <c r="O68" t="b">
        <f t="shared" si="5"/>
        <v>1</v>
      </c>
      <c r="P68"/>
      <c r="Q68"/>
      <c r="R68">
        <v>63</v>
      </c>
      <c r="S68" s="41">
        <v>1</v>
      </c>
      <c r="T68" s="41">
        <v>1</v>
      </c>
      <c r="U68" s="41">
        <v>11</v>
      </c>
      <c r="V68" s="41">
        <v>4</v>
      </c>
      <c r="W68" s="41">
        <v>2</v>
      </c>
      <c r="X68" s="16" t="s">
        <v>117</v>
      </c>
      <c r="Y68" s="17" t="s">
        <v>16</v>
      </c>
      <c r="Z68" s="17">
        <v>57</v>
      </c>
    </row>
    <row r="69" spans="1:26" s="14" customFormat="1" ht="15.75" x14ac:dyDescent="0.25">
      <c r="A69" s="1"/>
      <c r="B69" t="s">
        <v>526</v>
      </c>
      <c r="C69" t="str">
        <f t="shared" si="2"/>
        <v>1.1.11.4.3</v>
      </c>
      <c r="D69" t="str">
        <f t="shared" si="3"/>
        <v>Berubah</v>
      </c>
      <c r="E69" t="str">
        <f t="shared" si="4"/>
        <v>1.3.1.01.01.04.003</v>
      </c>
      <c r="F69">
        <v>64</v>
      </c>
      <c r="G69" s="9">
        <v>1</v>
      </c>
      <c r="H69" s="9">
        <v>3</v>
      </c>
      <c r="I69" s="9">
        <v>1</v>
      </c>
      <c r="J69" s="10" t="s">
        <v>13</v>
      </c>
      <c r="K69" s="10" t="s">
        <v>13</v>
      </c>
      <c r="L69" s="10" t="s">
        <v>27</v>
      </c>
      <c r="M69" s="10" t="s">
        <v>22</v>
      </c>
      <c r="N69" s="18" t="s">
        <v>118</v>
      </c>
      <c r="O69" t="b">
        <f t="shared" si="5"/>
        <v>1</v>
      </c>
      <c r="P69"/>
      <c r="Q69"/>
      <c r="R69">
        <v>64</v>
      </c>
      <c r="S69" s="41">
        <v>1</v>
      </c>
      <c r="T69" s="41">
        <v>1</v>
      </c>
      <c r="U69" s="41">
        <v>11</v>
      </c>
      <c r="V69" s="41">
        <v>4</v>
      </c>
      <c r="W69" s="41">
        <v>3</v>
      </c>
      <c r="X69" s="16" t="s">
        <v>118</v>
      </c>
      <c r="Y69" s="17" t="s">
        <v>16</v>
      </c>
      <c r="Z69" s="17">
        <v>58</v>
      </c>
    </row>
    <row r="70" spans="1:26" s="14" customFormat="1" ht="15.75" x14ac:dyDescent="0.25">
      <c r="A70" s="1"/>
      <c r="B70" t="s">
        <v>527</v>
      </c>
      <c r="C70" t="str">
        <f t="shared" si="2"/>
        <v>1.1.11.4.10</v>
      </c>
      <c r="D70" t="str">
        <f t="shared" si="3"/>
        <v>Berubah</v>
      </c>
      <c r="E70" t="str">
        <f t="shared" si="4"/>
        <v>1.3.1.01.01.04.004</v>
      </c>
      <c r="F70">
        <v>65</v>
      </c>
      <c r="G70" s="9">
        <v>1</v>
      </c>
      <c r="H70" s="9">
        <v>3</v>
      </c>
      <c r="I70" s="9">
        <v>1</v>
      </c>
      <c r="J70" s="10" t="s">
        <v>13</v>
      </c>
      <c r="K70" s="10" t="s">
        <v>13</v>
      </c>
      <c r="L70" s="10" t="s">
        <v>27</v>
      </c>
      <c r="M70" s="10" t="s">
        <v>25</v>
      </c>
      <c r="N70" s="18" t="s">
        <v>119</v>
      </c>
      <c r="O70" t="b">
        <f t="shared" si="5"/>
        <v>1</v>
      </c>
      <c r="P70"/>
      <c r="Q70"/>
      <c r="R70">
        <v>65</v>
      </c>
      <c r="S70" s="41">
        <v>1</v>
      </c>
      <c r="T70" s="41">
        <v>1</v>
      </c>
      <c r="U70" s="41">
        <v>11</v>
      </c>
      <c r="V70" s="41">
        <v>4</v>
      </c>
      <c r="W70" s="41">
        <v>10</v>
      </c>
      <c r="X70" s="16" t="s">
        <v>119</v>
      </c>
      <c r="Y70" s="17" t="s">
        <v>16</v>
      </c>
      <c r="Z70" s="17">
        <v>65</v>
      </c>
    </row>
    <row r="71" spans="1:26" s="14" customFormat="1" ht="15.75" x14ac:dyDescent="0.25">
      <c r="A71" s="1"/>
      <c r="B71" t="s">
        <v>528</v>
      </c>
      <c r="C71" t="str">
        <f t="shared" ref="C71:C134" si="6">S71&amp;"."&amp;T71&amp;"."&amp;U71&amp;"."&amp;V71&amp;"."&amp;W71</f>
        <v>1.1.11.4.11</v>
      </c>
      <c r="D71" t="str">
        <f t="shared" ref="D71:D134" si="7">IF(S71&lt;&gt;"",IF(G71="","Keluar","Berubah"),"Bertambah")</f>
        <v>Berubah</v>
      </c>
      <c r="E71" t="str">
        <f t="shared" ref="E71:E134" si="8">G71&amp;"."&amp;H71&amp;"."&amp;I71&amp;"."&amp;J71&amp;"."&amp;K71&amp;"."&amp;L71&amp;"."&amp;M71</f>
        <v>1.3.1.01.01.04.005</v>
      </c>
      <c r="F71">
        <v>66</v>
      </c>
      <c r="G71" s="9">
        <v>1</v>
      </c>
      <c r="H71" s="9">
        <v>3</v>
      </c>
      <c r="I71" s="9">
        <v>1</v>
      </c>
      <c r="J71" s="10" t="s">
        <v>13</v>
      </c>
      <c r="K71" s="10" t="s">
        <v>13</v>
      </c>
      <c r="L71" s="10" t="s">
        <v>27</v>
      </c>
      <c r="M71" s="10" t="s">
        <v>28</v>
      </c>
      <c r="N71" s="18" t="s">
        <v>120</v>
      </c>
      <c r="O71" t="b">
        <f t="shared" si="5"/>
        <v>1</v>
      </c>
      <c r="P71"/>
      <c r="Q71"/>
      <c r="R71">
        <v>66</v>
      </c>
      <c r="S71" s="41">
        <v>1</v>
      </c>
      <c r="T71" s="41">
        <v>1</v>
      </c>
      <c r="U71" s="41">
        <v>11</v>
      </c>
      <c r="V71" s="41">
        <v>4</v>
      </c>
      <c r="W71" s="41">
        <v>11</v>
      </c>
      <c r="X71" s="16" t="s">
        <v>120</v>
      </c>
      <c r="Y71" s="17" t="s">
        <v>16</v>
      </c>
      <c r="Z71" s="17">
        <v>66</v>
      </c>
    </row>
    <row r="72" spans="1:26" s="14" customFormat="1" ht="15.75" x14ac:dyDescent="0.25">
      <c r="A72" s="1"/>
      <c r="B72" t="s">
        <v>529</v>
      </c>
      <c r="C72" t="str">
        <f t="shared" si="6"/>
        <v>1.1.11.4.12</v>
      </c>
      <c r="D72" t="str">
        <f t="shared" si="7"/>
        <v>Berubah</v>
      </c>
      <c r="E72" t="str">
        <f t="shared" si="8"/>
        <v>1.3.1.01.01.04.006</v>
      </c>
      <c r="F72">
        <v>67</v>
      </c>
      <c r="G72" s="9">
        <v>1</v>
      </c>
      <c r="H72" s="9">
        <v>3</v>
      </c>
      <c r="I72" s="9">
        <v>1</v>
      </c>
      <c r="J72" s="10" t="s">
        <v>13</v>
      </c>
      <c r="K72" s="10" t="s">
        <v>13</v>
      </c>
      <c r="L72" s="10" t="s">
        <v>27</v>
      </c>
      <c r="M72" s="10" t="s">
        <v>31</v>
      </c>
      <c r="N72" s="18" t="s">
        <v>121</v>
      </c>
      <c r="O72" t="b">
        <f t="shared" si="5"/>
        <v>1</v>
      </c>
      <c r="P72"/>
      <c r="Q72"/>
      <c r="R72">
        <v>67</v>
      </c>
      <c r="S72" s="41">
        <v>1</v>
      </c>
      <c r="T72" s="41">
        <v>1</v>
      </c>
      <c r="U72" s="41">
        <v>11</v>
      </c>
      <c r="V72" s="41">
        <v>4</v>
      </c>
      <c r="W72" s="41">
        <v>12</v>
      </c>
      <c r="X72" s="16" t="s">
        <v>121</v>
      </c>
      <c r="Y72" s="17" t="s">
        <v>16</v>
      </c>
      <c r="Z72" s="17">
        <v>67</v>
      </c>
    </row>
    <row r="73" spans="1:26" s="14" customFormat="1" ht="15.75" x14ac:dyDescent="0.25">
      <c r="A73" s="1"/>
      <c r="B73" t="s">
        <v>530</v>
      </c>
      <c r="C73" t="str">
        <f t="shared" si="6"/>
        <v>1.1.11.4.13</v>
      </c>
      <c r="D73" t="str">
        <f t="shared" si="7"/>
        <v>Berubah</v>
      </c>
      <c r="E73" t="str">
        <f t="shared" si="8"/>
        <v>1.3.1.01.01.04.007</v>
      </c>
      <c r="F73">
        <v>68</v>
      </c>
      <c r="G73" s="9">
        <v>1</v>
      </c>
      <c r="H73" s="9">
        <v>3</v>
      </c>
      <c r="I73" s="9">
        <v>1</v>
      </c>
      <c r="J73" s="10" t="s">
        <v>13</v>
      </c>
      <c r="K73" s="10" t="s">
        <v>13</v>
      </c>
      <c r="L73" s="10" t="s">
        <v>27</v>
      </c>
      <c r="M73" s="10" t="s">
        <v>34</v>
      </c>
      <c r="N73" s="18" t="s">
        <v>122</v>
      </c>
      <c r="O73" t="b">
        <f t="shared" ref="O73:O136" si="9">N73=X73</f>
        <v>1</v>
      </c>
      <c r="P73"/>
      <c r="Q73"/>
      <c r="R73">
        <v>68</v>
      </c>
      <c r="S73" s="41">
        <v>1</v>
      </c>
      <c r="T73" s="41">
        <v>1</v>
      </c>
      <c r="U73" s="41">
        <v>11</v>
      </c>
      <c r="V73" s="41">
        <v>4</v>
      </c>
      <c r="W73" s="41">
        <v>13</v>
      </c>
      <c r="X73" s="16" t="s">
        <v>122</v>
      </c>
      <c r="Y73" s="17" t="s">
        <v>16</v>
      </c>
      <c r="Z73" s="17">
        <v>68</v>
      </c>
    </row>
    <row r="74" spans="1:26" s="1" customFormat="1" ht="15.75" x14ac:dyDescent="0.25">
      <c r="B74" t="s">
        <v>531</v>
      </c>
      <c r="C74" t="str">
        <f t="shared" si="6"/>
        <v>1.1.11.4.14</v>
      </c>
      <c r="D74" t="str">
        <f t="shared" si="7"/>
        <v>Berubah</v>
      </c>
      <c r="E74" t="str">
        <f t="shared" si="8"/>
        <v>1.3.1.01.01.04.008</v>
      </c>
      <c r="F74" s="1">
        <v>69</v>
      </c>
      <c r="G74" s="19">
        <v>1</v>
      </c>
      <c r="H74" s="19">
        <v>3</v>
      </c>
      <c r="I74" s="19">
        <v>1</v>
      </c>
      <c r="J74" s="20" t="s">
        <v>13</v>
      </c>
      <c r="K74" s="20" t="s">
        <v>13</v>
      </c>
      <c r="L74" s="20" t="s">
        <v>27</v>
      </c>
      <c r="M74" s="20" t="s">
        <v>37</v>
      </c>
      <c r="N74" s="21" t="s">
        <v>123</v>
      </c>
      <c r="O74" s="1" t="b">
        <f t="shared" si="9"/>
        <v>0</v>
      </c>
      <c r="R74" s="1">
        <v>69</v>
      </c>
      <c r="S74" s="42">
        <v>1</v>
      </c>
      <c r="T74" s="42">
        <v>1</v>
      </c>
      <c r="U74" s="42">
        <v>11</v>
      </c>
      <c r="V74" s="42">
        <v>4</v>
      </c>
      <c r="W74" s="42">
        <v>14</v>
      </c>
      <c r="X74" s="22" t="s">
        <v>124</v>
      </c>
      <c r="Y74" s="23" t="s">
        <v>16</v>
      </c>
      <c r="Z74" s="23">
        <v>69</v>
      </c>
    </row>
    <row r="75" spans="1:26" s="1" customFormat="1" ht="15.75" x14ac:dyDescent="0.25">
      <c r="B75" t="s">
        <v>532</v>
      </c>
      <c r="C75" t="str">
        <f t="shared" si="6"/>
        <v>1.1.11.4.15</v>
      </c>
      <c r="D75" t="str">
        <f t="shared" si="7"/>
        <v>Berubah</v>
      </c>
      <c r="E75" t="str">
        <f t="shared" si="8"/>
        <v>1.3.1.01.01.04.009</v>
      </c>
      <c r="F75" s="1">
        <v>70</v>
      </c>
      <c r="G75" s="19">
        <v>1</v>
      </c>
      <c r="H75" s="19">
        <v>3</v>
      </c>
      <c r="I75" s="19">
        <v>1</v>
      </c>
      <c r="J75" s="20" t="s">
        <v>13</v>
      </c>
      <c r="K75" s="20" t="s">
        <v>13</v>
      </c>
      <c r="L75" s="20" t="s">
        <v>27</v>
      </c>
      <c r="M75" s="20" t="s">
        <v>40</v>
      </c>
      <c r="N75" s="21" t="s">
        <v>125</v>
      </c>
      <c r="O75" s="1" t="b">
        <f t="shared" si="9"/>
        <v>0</v>
      </c>
      <c r="R75" s="1">
        <v>70</v>
      </c>
      <c r="S75" s="42">
        <v>1</v>
      </c>
      <c r="T75" s="42">
        <v>1</v>
      </c>
      <c r="U75" s="42">
        <v>11</v>
      </c>
      <c r="V75" s="42">
        <v>4</v>
      </c>
      <c r="W75" s="42">
        <v>15</v>
      </c>
      <c r="X75" s="22" t="s">
        <v>126</v>
      </c>
      <c r="Y75" s="23" t="s">
        <v>16</v>
      </c>
      <c r="Z75" s="23">
        <v>70</v>
      </c>
    </row>
    <row r="76" spans="1:26" s="14" customFormat="1" ht="15.75" x14ac:dyDescent="0.25">
      <c r="A76" s="1"/>
      <c r="B76" t="s">
        <v>533</v>
      </c>
      <c r="C76" t="str">
        <f t="shared" si="6"/>
        <v>1.1.11.4.16</v>
      </c>
      <c r="D76" t="str">
        <f t="shared" si="7"/>
        <v>Berubah</v>
      </c>
      <c r="E76" t="str">
        <f t="shared" si="8"/>
        <v>1.3.1.01.01.04.010</v>
      </c>
      <c r="F76">
        <v>71</v>
      </c>
      <c r="G76" s="9">
        <v>1</v>
      </c>
      <c r="H76" s="9">
        <v>3</v>
      </c>
      <c r="I76" s="9">
        <v>1</v>
      </c>
      <c r="J76" s="10" t="s">
        <v>13</v>
      </c>
      <c r="K76" s="10" t="s">
        <v>13</v>
      </c>
      <c r="L76" s="10" t="s">
        <v>27</v>
      </c>
      <c r="M76" s="10" t="s">
        <v>43</v>
      </c>
      <c r="N76" s="18" t="s">
        <v>127</v>
      </c>
      <c r="O76" t="b">
        <f t="shared" si="9"/>
        <v>1</v>
      </c>
      <c r="P76"/>
      <c r="Q76"/>
      <c r="R76">
        <v>71</v>
      </c>
      <c r="S76" s="41">
        <v>1</v>
      </c>
      <c r="T76" s="41">
        <v>1</v>
      </c>
      <c r="U76" s="41">
        <v>11</v>
      </c>
      <c r="V76" s="41">
        <v>4</v>
      </c>
      <c r="W76" s="41">
        <v>16</v>
      </c>
      <c r="X76" s="16" t="s">
        <v>127</v>
      </c>
      <c r="Y76" s="17" t="s">
        <v>16</v>
      </c>
      <c r="Z76" s="17">
        <v>71</v>
      </c>
    </row>
    <row r="77" spans="1:26" s="1" customFormat="1" ht="15.75" x14ac:dyDescent="0.25">
      <c r="B77" t="s">
        <v>534</v>
      </c>
      <c r="C77" t="str">
        <f t="shared" si="6"/>
        <v>1.1.11.4.17</v>
      </c>
      <c r="D77" t="str">
        <f t="shared" si="7"/>
        <v>Berubah</v>
      </c>
      <c r="E77" t="str">
        <f t="shared" si="8"/>
        <v>1.3.1.01.01.04.011</v>
      </c>
      <c r="F77" s="1">
        <v>72</v>
      </c>
      <c r="G77" s="19">
        <v>1</v>
      </c>
      <c r="H77" s="19">
        <v>3</v>
      </c>
      <c r="I77" s="19">
        <v>1</v>
      </c>
      <c r="J77" s="20" t="s">
        <v>13</v>
      </c>
      <c r="K77" s="20" t="s">
        <v>13</v>
      </c>
      <c r="L77" s="20" t="s">
        <v>27</v>
      </c>
      <c r="M77" s="20" t="s">
        <v>46</v>
      </c>
      <c r="N77" s="21" t="s">
        <v>128</v>
      </c>
      <c r="O77" s="1" t="b">
        <f t="shared" si="9"/>
        <v>0</v>
      </c>
      <c r="R77" s="1">
        <v>72</v>
      </c>
      <c r="S77" s="42">
        <v>1</v>
      </c>
      <c r="T77" s="42">
        <v>1</v>
      </c>
      <c r="U77" s="42">
        <v>11</v>
      </c>
      <c r="V77" s="42">
        <v>4</v>
      </c>
      <c r="W77" s="42">
        <v>17</v>
      </c>
      <c r="X77" s="22" t="s">
        <v>129</v>
      </c>
      <c r="Y77" s="23" t="s">
        <v>16</v>
      </c>
      <c r="Z77" s="23">
        <v>72</v>
      </c>
    </row>
    <row r="78" spans="1:26" s="14" customFormat="1" ht="15.75" x14ac:dyDescent="0.25">
      <c r="A78" s="1"/>
      <c r="B78" t="s">
        <v>535</v>
      </c>
      <c r="C78" t="str">
        <f t="shared" si="6"/>
        <v>1.1.11.4.18</v>
      </c>
      <c r="D78" t="str">
        <f t="shared" si="7"/>
        <v>Berubah</v>
      </c>
      <c r="E78" t="str">
        <f t="shared" si="8"/>
        <v>1.3.1.01.01.04.012</v>
      </c>
      <c r="F78">
        <v>73</v>
      </c>
      <c r="G78" s="9">
        <v>1</v>
      </c>
      <c r="H78" s="9">
        <v>3</v>
      </c>
      <c r="I78" s="9">
        <v>1</v>
      </c>
      <c r="J78" s="10" t="s">
        <v>13</v>
      </c>
      <c r="K78" s="10" t="s">
        <v>13</v>
      </c>
      <c r="L78" s="10" t="s">
        <v>27</v>
      </c>
      <c r="M78" s="10" t="s">
        <v>49</v>
      </c>
      <c r="N78" s="18" t="s">
        <v>130</v>
      </c>
      <c r="O78" t="b">
        <f t="shared" si="9"/>
        <v>1</v>
      </c>
      <c r="P78"/>
      <c r="Q78"/>
      <c r="R78">
        <v>73</v>
      </c>
      <c r="S78" s="41">
        <v>1</v>
      </c>
      <c r="T78" s="41">
        <v>1</v>
      </c>
      <c r="U78" s="41">
        <v>11</v>
      </c>
      <c r="V78" s="41">
        <v>4</v>
      </c>
      <c r="W78" s="41">
        <v>18</v>
      </c>
      <c r="X78" s="16" t="s">
        <v>130</v>
      </c>
      <c r="Y78" s="17" t="s">
        <v>16</v>
      </c>
      <c r="Z78" s="17">
        <v>73</v>
      </c>
    </row>
    <row r="79" spans="1:26" s="1" customFormat="1" ht="15.75" x14ac:dyDescent="0.25">
      <c r="B79" t="s">
        <v>536</v>
      </c>
      <c r="C79" t="str">
        <f t="shared" si="6"/>
        <v>1.1.11.4.19</v>
      </c>
      <c r="D79" t="str">
        <f t="shared" si="7"/>
        <v>Berubah</v>
      </c>
      <c r="E79" t="str">
        <f t="shared" si="8"/>
        <v>1.3.1.01.01.04.013</v>
      </c>
      <c r="F79" s="1">
        <v>74</v>
      </c>
      <c r="G79" s="19">
        <v>1</v>
      </c>
      <c r="H79" s="19">
        <v>3</v>
      </c>
      <c r="I79" s="19">
        <v>1</v>
      </c>
      <c r="J79" s="20" t="s">
        <v>13</v>
      </c>
      <c r="K79" s="20" t="s">
        <v>13</v>
      </c>
      <c r="L79" s="20" t="s">
        <v>27</v>
      </c>
      <c r="M79" s="20" t="s">
        <v>66</v>
      </c>
      <c r="N79" s="21" t="s">
        <v>131</v>
      </c>
      <c r="O79" s="1" t="b">
        <f t="shared" si="9"/>
        <v>0</v>
      </c>
      <c r="R79" s="1">
        <v>74</v>
      </c>
      <c r="S79" s="42">
        <v>1</v>
      </c>
      <c r="T79" s="42">
        <v>1</v>
      </c>
      <c r="U79" s="42">
        <v>11</v>
      </c>
      <c r="V79" s="42">
        <v>4</v>
      </c>
      <c r="W79" s="42">
        <v>19</v>
      </c>
      <c r="X79" s="22" t="s">
        <v>132</v>
      </c>
      <c r="Y79" s="23" t="s">
        <v>16</v>
      </c>
      <c r="Z79" s="23">
        <v>74</v>
      </c>
    </row>
    <row r="80" spans="1:26" s="14" customFormat="1" ht="15.75" x14ac:dyDescent="0.25">
      <c r="A80" s="1"/>
      <c r="B80" t="s">
        <v>537</v>
      </c>
      <c r="C80" t="str">
        <f t="shared" si="6"/>
        <v>1.1.11.4.20</v>
      </c>
      <c r="D80" t="str">
        <f t="shared" si="7"/>
        <v>Berubah</v>
      </c>
      <c r="E80" t="str">
        <f t="shared" si="8"/>
        <v>1.3.1.01.01.04.014</v>
      </c>
      <c r="F80">
        <v>75</v>
      </c>
      <c r="G80" s="9">
        <v>1</v>
      </c>
      <c r="H80" s="9">
        <v>3</v>
      </c>
      <c r="I80" s="9">
        <v>1</v>
      </c>
      <c r="J80" s="10" t="s">
        <v>13</v>
      </c>
      <c r="K80" s="10" t="s">
        <v>13</v>
      </c>
      <c r="L80" s="10" t="s">
        <v>27</v>
      </c>
      <c r="M80" s="10" t="s">
        <v>68</v>
      </c>
      <c r="N80" s="18" t="s">
        <v>133</v>
      </c>
      <c r="O80" t="b">
        <f t="shared" si="9"/>
        <v>1</v>
      </c>
      <c r="P80"/>
      <c r="Q80"/>
      <c r="R80">
        <v>75</v>
      </c>
      <c r="S80" s="41">
        <v>1</v>
      </c>
      <c r="T80" s="41">
        <v>1</v>
      </c>
      <c r="U80" s="41">
        <v>11</v>
      </c>
      <c r="V80" s="41">
        <v>4</v>
      </c>
      <c r="W80" s="41">
        <v>20</v>
      </c>
      <c r="X80" s="16" t="s">
        <v>133</v>
      </c>
      <c r="Y80" s="17" t="s">
        <v>16</v>
      </c>
      <c r="Z80" s="17">
        <v>75</v>
      </c>
    </row>
    <row r="81" spans="1:26" s="14" customFormat="1" ht="15.75" x14ac:dyDescent="0.25">
      <c r="A81" s="1"/>
      <c r="B81" t="s">
        <v>538</v>
      </c>
      <c r="C81" t="str">
        <f t="shared" si="6"/>
        <v>1.1.11.4.21</v>
      </c>
      <c r="D81" t="str">
        <f t="shared" si="7"/>
        <v>Berubah</v>
      </c>
      <c r="E81" t="str">
        <f t="shared" si="8"/>
        <v>1.3.1.01.01.04.015</v>
      </c>
      <c r="F81" s="1">
        <v>76</v>
      </c>
      <c r="G81" s="19">
        <v>1</v>
      </c>
      <c r="H81" s="19">
        <v>3</v>
      </c>
      <c r="I81" s="19">
        <v>1</v>
      </c>
      <c r="J81" s="20" t="s">
        <v>13</v>
      </c>
      <c r="K81" s="20" t="s">
        <v>13</v>
      </c>
      <c r="L81" s="20" t="s">
        <v>27</v>
      </c>
      <c r="M81" s="20" t="s">
        <v>71</v>
      </c>
      <c r="N81" s="21" t="s">
        <v>134</v>
      </c>
      <c r="O81" s="1" t="b">
        <f t="shared" si="9"/>
        <v>0</v>
      </c>
      <c r="P81" s="1"/>
      <c r="Q81" s="1"/>
      <c r="R81" s="1">
        <v>76</v>
      </c>
      <c r="S81" s="42">
        <v>1</v>
      </c>
      <c r="T81" s="42">
        <v>1</v>
      </c>
      <c r="U81" s="42">
        <v>11</v>
      </c>
      <c r="V81" s="42">
        <v>4</v>
      </c>
      <c r="W81" s="42">
        <v>21</v>
      </c>
      <c r="X81" s="22" t="s">
        <v>135</v>
      </c>
      <c r="Y81" s="23" t="s">
        <v>16</v>
      </c>
      <c r="Z81" s="23">
        <v>76</v>
      </c>
    </row>
    <row r="82" spans="1:26" s="14" customFormat="1" ht="15.75" x14ac:dyDescent="0.25">
      <c r="A82" s="1"/>
      <c r="B82" t="s">
        <v>539</v>
      </c>
      <c r="C82" t="str">
        <f t="shared" si="6"/>
        <v>1.1.11.4.22</v>
      </c>
      <c r="D82" t="str">
        <f t="shared" si="7"/>
        <v>Berubah</v>
      </c>
      <c r="E82" t="str">
        <f t="shared" si="8"/>
        <v>1.3.1.01.01.04.016</v>
      </c>
      <c r="F82">
        <v>77</v>
      </c>
      <c r="G82" s="9">
        <v>1</v>
      </c>
      <c r="H82" s="9">
        <v>3</v>
      </c>
      <c r="I82" s="9">
        <v>1</v>
      </c>
      <c r="J82" s="10" t="s">
        <v>13</v>
      </c>
      <c r="K82" s="10" t="s">
        <v>13</v>
      </c>
      <c r="L82" s="10" t="s">
        <v>27</v>
      </c>
      <c r="M82" s="10" t="s">
        <v>94</v>
      </c>
      <c r="N82" s="18" t="s">
        <v>136</v>
      </c>
      <c r="O82" t="b">
        <f t="shared" si="9"/>
        <v>1</v>
      </c>
      <c r="P82"/>
      <c r="Q82"/>
      <c r="R82">
        <v>77</v>
      </c>
      <c r="S82" s="41">
        <v>1</v>
      </c>
      <c r="T82" s="41">
        <v>1</v>
      </c>
      <c r="U82" s="41">
        <v>11</v>
      </c>
      <c r="V82" s="41">
        <v>4</v>
      </c>
      <c r="W82" s="41">
        <v>22</v>
      </c>
      <c r="X82" s="16" t="s">
        <v>136</v>
      </c>
      <c r="Y82" s="17" t="s">
        <v>16</v>
      </c>
      <c r="Z82" s="17">
        <v>77</v>
      </c>
    </row>
    <row r="83" spans="1:26" s="14" customFormat="1" ht="15.75" x14ac:dyDescent="0.25">
      <c r="A83" s="1"/>
      <c r="B83" t="s">
        <v>540</v>
      </c>
      <c r="C83" t="str">
        <f t="shared" si="6"/>
        <v>1.1.11.4.23</v>
      </c>
      <c r="D83" t="str">
        <f t="shared" si="7"/>
        <v>Berubah</v>
      </c>
      <c r="E83" t="str">
        <f t="shared" si="8"/>
        <v>1.3.1.01.01.04.017</v>
      </c>
      <c r="F83">
        <v>78</v>
      </c>
      <c r="G83" s="9">
        <v>1</v>
      </c>
      <c r="H83" s="9">
        <v>3</v>
      </c>
      <c r="I83" s="9">
        <v>1</v>
      </c>
      <c r="J83" s="10" t="s">
        <v>13</v>
      </c>
      <c r="K83" s="10" t="s">
        <v>13</v>
      </c>
      <c r="L83" s="10" t="s">
        <v>27</v>
      </c>
      <c r="M83" s="10" t="s">
        <v>96</v>
      </c>
      <c r="N83" s="18" t="s">
        <v>137</v>
      </c>
      <c r="O83" t="b">
        <f t="shared" si="9"/>
        <v>1</v>
      </c>
      <c r="P83"/>
      <c r="Q83"/>
      <c r="R83">
        <v>78</v>
      </c>
      <c r="S83" s="41">
        <v>1</v>
      </c>
      <c r="T83" s="41">
        <v>1</v>
      </c>
      <c r="U83" s="41">
        <v>11</v>
      </c>
      <c r="V83" s="41">
        <v>4</v>
      </c>
      <c r="W83" s="41">
        <v>23</v>
      </c>
      <c r="X83" s="16" t="s">
        <v>137</v>
      </c>
      <c r="Y83" s="17" t="s">
        <v>16</v>
      </c>
      <c r="Z83" s="17">
        <v>78</v>
      </c>
    </row>
    <row r="84" spans="1:26" s="14" customFormat="1" ht="15.75" x14ac:dyDescent="0.25">
      <c r="A84" s="1"/>
      <c r="B84" t="s">
        <v>541</v>
      </c>
      <c r="C84" t="str">
        <f t="shared" si="6"/>
        <v>1.1.11.4.24</v>
      </c>
      <c r="D84" t="str">
        <f t="shared" si="7"/>
        <v>Berubah</v>
      </c>
      <c r="E84" t="str">
        <f t="shared" si="8"/>
        <v>1.3.1.01.01.04.018</v>
      </c>
      <c r="F84">
        <v>79</v>
      </c>
      <c r="G84" s="9">
        <v>1</v>
      </c>
      <c r="H84" s="9">
        <v>3</v>
      </c>
      <c r="I84" s="9">
        <v>1</v>
      </c>
      <c r="J84" s="10" t="s">
        <v>13</v>
      </c>
      <c r="K84" s="10" t="s">
        <v>13</v>
      </c>
      <c r="L84" s="10" t="s">
        <v>27</v>
      </c>
      <c r="M84" s="10" t="s">
        <v>98</v>
      </c>
      <c r="N84" s="18" t="s">
        <v>138</v>
      </c>
      <c r="O84" t="b">
        <f t="shared" si="9"/>
        <v>1</v>
      </c>
      <c r="P84"/>
      <c r="Q84"/>
      <c r="R84">
        <v>79</v>
      </c>
      <c r="S84" s="41">
        <v>1</v>
      </c>
      <c r="T84" s="41">
        <v>1</v>
      </c>
      <c r="U84" s="41">
        <v>11</v>
      </c>
      <c r="V84" s="41">
        <v>4</v>
      </c>
      <c r="W84" s="41">
        <v>24</v>
      </c>
      <c r="X84" s="16" t="s">
        <v>138</v>
      </c>
      <c r="Y84" s="17" t="s">
        <v>16</v>
      </c>
      <c r="Z84" s="17">
        <v>79</v>
      </c>
    </row>
    <row r="85" spans="1:26" s="14" customFormat="1" ht="15.75" x14ac:dyDescent="0.25">
      <c r="A85" s="1"/>
      <c r="B85" t="s">
        <v>542</v>
      </c>
      <c r="C85" t="str">
        <f t="shared" si="6"/>
        <v>1.1.11.4.7</v>
      </c>
      <c r="D85" t="str">
        <f t="shared" si="7"/>
        <v>Berubah</v>
      </c>
      <c r="E85" t="str">
        <f t="shared" si="8"/>
        <v>1.3.1.01.01.04.019</v>
      </c>
      <c r="F85" s="14">
        <v>80</v>
      </c>
      <c r="G85" s="24">
        <v>1</v>
      </c>
      <c r="H85" s="24">
        <v>3</v>
      </c>
      <c r="I85" s="24">
        <v>1</v>
      </c>
      <c r="J85" s="25" t="s">
        <v>13</v>
      </c>
      <c r="K85" s="25" t="s">
        <v>13</v>
      </c>
      <c r="L85" s="25" t="s">
        <v>27</v>
      </c>
      <c r="M85" s="25" t="s">
        <v>100</v>
      </c>
      <c r="N85" s="26" t="s">
        <v>139</v>
      </c>
      <c r="O85" s="14" t="b">
        <f t="shared" si="9"/>
        <v>0</v>
      </c>
      <c r="R85" s="14">
        <v>80</v>
      </c>
      <c r="S85" s="43">
        <v>1</v>
      </c>
      <c r="T85" s="43">
        <v>1</v>
      </c>
      <c r="U85" s="43">
        <v>11</v>
      </c>
      <c r="V85" s="43">
        <v>4</v>
      </c>
      <c r="W85" s="43">
        <v>7</v>
      </c>
      <c r="X85" s="27" t="s">
        <v>140</v>
      </c>
      <c r="Y85" s="29" t="s">
        <v>16</v>
      </c>
      <c r="Z85" s="29">
        <v>62</v>
      </c>
    </row>
    <row r="86" spans="1:26" s="14" customFormat="1" ht="15.75" x14ac:dyDescent="0.25">
      <c r="A86" s="1"/>
      <c r="B86" t="s">
        <v>543</v>
      </c>
      <c r="C86" t="str">
        <f t="shared" si="6"/>
        <v>1.1.11.4.6</v>
      </c>
      <c r="D86" t="str">
        <f t="shared" si="7"/>
        <v>Keluar</v>
      </c>
      <c r="E86" t="str">
        <f t="shared" si="8"/>
        <v>......</v>
      </c>
      <c r="F86" s="14">
        <v>81</v>
      </c>
      <c r="G86" s="24"/>
      <c r="H86" s="24"/>
      <c r="I86" s="24"/>
      <c r="J86" s="25"/>
      <c r="K86" s="25"/>
      <c r="L86" s="25"/>
      <c r="M86" s="25"/>
      <c r="N86" s="26"/>
      <c r="O86" s="14" t="b">
        <f t="shared" si="9"/>
        <v>0</v>
      </c>
      <c r="R86" s="14">
        <v>81</v>
      </c>
      <c r="S86" s="43">
        <v>1</v>
      </c>
      <c r="T86" s="43">
        <v>1</v>
      </c>
      <c r="U86" s="43">
        <v>11</v>
      </c>
      <c r="V86" s="43">
        <v>4</v>
      </c>
      <c r="W86" s="43">
        <v>6</v>
      </c>
      <c r="X86" s="27" t="s">
        <v>141</v>
      </c>
      <c r="Y86" s="29" t="s">
        <v>16</v>
      </c>
      <c r="Z86" s="29">
        <v>61</v>
      </c>
    </row>
    <row r="87" spans="1:26" s="1" customFormat="1" ht="15.75" x14ac:dyDescent="0.25">
      <c r="B87" t="s">
        <v>469</v>
      </c>
      <c r="C87" t="str">
        <f t="shared" si="6"/>
        <v>....</v>
      </c>
      <c r="D87" t="str">
        <f t="shared" si="7"/>
        <v>Bertambah</v>
      </c>
      <c r="E87" t="str">
        <f t="shared" si="8"/>
        <v>......</v>
      </c>
      <c r="F87">
        <v>82</v>
      </c>
      <c r="G87" s="9"/>
      <c r="H87" s="9"/>
      <c r="I87" s="9"/>
      <c r="J87" s="10"/>
      <c r="K87" s="10"/>
      <c r="L87" s="10"/>
      <c r="M87" s="10"/>
      <c r="N87" s="18"/>
      <c r="O87" t="b">
        <f t="shared" si="9"/>
        <v>1</v>
      </c>
      <c r="P87"/>
      <c r="Q87"/>
      <c r="R87">
        <v>82</v>
      </c>
      <c r="S87" s="15"/>
      <c r="T87" s="15"/>
      <c r="U87" s="15"/>
      <c r="V87" s="15"/>
      <c r="W87" s="15"/>
      <c r="X87" s="16"/>
      <c r="Y87" s="17"/>
      <c r="Z87" s="17"/>
    </row>
    <row r="88" spans="1:26" s="14" customFormat="1" x14ac:dyDescent="0.25">
      <c r="A88" s="1"/>
      <c r="B88" t="s">
        <v>469</v>
      </c>
      <c r="C88" t="str">
        <f t="shared" si="6"/>
        <v>....</v>
      </c>
      <c r="D88" t="str">
        <f t="shared" si="7"/>
        <v>Bertambah</v>
      </c>
      <c r="E88" t="str">
        <f t="shared" si="8"/>
        <v>1.3.1.01.01.04.020</v>
      </c>
      <c r="F88" s="14">
        <v>83</v>
      </c>
      <c r="G88" s="24">
        <v>1</v>
      </c>
      <c r="H88" s="24">
        <v>3</v>
      </c>
      <c r="I88" s="24">
        <v>1</v>
      </c>
      <c r="J88" s="25" t="s">
        <v>13</v>
      </c>
      <c r="K88" s="25" t="s">
        <v>13</v>
      </c>
      <c r="L88" s="25" t="s">
        <v>27</v>
      </c>
      <c r="M88" s="25" t="s">
        <v>102</v>
      </c>
      <c r="N88" s="26" t="s">
        <v>142</v>
      </c>
      <c r="O88" s="14" t="b">
        <f t="shared" si="9"/>
        <v>0</v>
      </c>
      <c r="R88" s="14">
        <v>83</v>
      </c>
      <c r="S88" s="28"/>
      <c r="T88" s="28"/>
      <c r="U88" s="28"/>
      <c r="V88" s="28"/>
      <c r="W88" s="28"/>
      <c r="X88" s="28"/>
      <c r="Y88" s="28"/>
      <c r="Z88" s="28"/>
    </row>
    <row r="89" spans="1:26" s="14" customFormat="1" x14ac:dyDescent="0.25">
      <c r="A89" s="1"/>
      <c r="B89" t="s">
        <v>469</v>
      </c>
      <c r="C89" t="str">
        <f t="shared" si="6"/>
        <v>....</v>
      </c>
      <c r="D89" t="str">
        <f t="shared" si="7"/>
        <v>Bertambah</v>
      </c>
      <c r="E89" t="str">
        <f t="shared" si="8"/>
        <v>1.3.1.01.01.04.021</v>
      </c>
      <c r="F89" s="14">
        <v>84</v>
      </c>
      <c r="G89" s="24">
        <v>1</v>
      </c>
      <c r="H89" s="24">
        <v>3</v>
      </c>
      <c r="I89" s="24">
        <v>1</v>
      </c>
      <c r="J89" s="25" t="s">
        <v>13</v>
      </c>
      <c r="K89" s="25" t="s">
        <v>13</v>
      </c>
      <c r="L89" s="25" t="s">
        <v>27</v>
      </c>
      <c r="M89" s="25" t="s">
        <v>104</v>
      </c>
      <c r="N89" s="26" t="s">
        <v>143</v>
      </c>
      <c r="O89" s="14" t="b">
        <f t="shared" si="9"/>
        <v>0</v>
      </c>
      <c r="R89" s="14">
        <v>84</v>
      </c>
      <c r="S89" s="28"/>
      <c r="T89" s="28"/>
      <c r="U89" s="28"/>
      <c r="V89" s="28"/>
      <c r="W89" s="28"/>
      <c r="X89" s="28"/>
      <c r="Y89" s="28"/>
      <c r="Z89" s="28"/>
    </row>
    <row r="90" spans="1:26" s="14" customFormat="1" x14ac:dyDescent="0.25">
      <c r="A90" s="1"/>
      <c r="B90" t="s">
        <v>469</v>
      </c>
      <c r="C90" t="str">
        <f t="shared" si="6"/>
        <v>....</v>
      </c>
      <c r="D90" t="str">
        <f t="shared" si="7"/>
        <v>Bertambah</v>
      </c>
      <c r="E90" t="str">
        <f t="shared" si="8"/>
        <v>1.3.1.01.01.04.022</v>
      </c>
      <c r="F90" s="14">
        <v>85</v>
      </c>
      <c r="G90" s="24">
        <v>1</v>
      </c>
      <c r="H90" s="24">
        <v>3</v>
      </c>
      <c r="I90" s="24">
        <v>1</v>
      </c>
      <c r="J90" s="25" t="s">
        <v>13</v>
      </c>
      <c r="K90" s="25" t="s">
        <v>13</v>
      </c>
      <c r="L90" s="25" t="s">
        <v>27</v>
      </c>
      <c r="M90" s="25" t="s">
        <v>107</v>
      </c>
      <c r="N90" s="26" t="s">
        <v>144</v>
      </c>
      <c r="O90" s="14" t="b">
        <f t="shared" si="9"/>
        <v>0</v>
      </c>
      <c r="R90" s="14">
        <v>85</v>
      </c>
      <c r="S90" s="28"/>
      <c r="T90" s="28"/>
      <c r="U90" s="28"/>
      <c r="V90" s="28"/>
      <c r="W90" s="28"/>
      <c r="X90" s="28"/>
      <c r="Y90" s="28"/>
      <c r="Z90" s="28"/>
    </row>
    <row r="91" spans="1:26" s="14" customFormat="1" x14ac:dyDescent="0.25">
      <c r="A91" s="1"/>
      <c r="B91" t="s">
        <v>469</v>
      </c>
      <c r="C91" t="str">
        <f t="shared" si="6"/>
        <v>....</v>
      </c>
      <c r="D91" t="str">
        <f t="shared" si="7"/>
        <v>Bertambah</v>
      </c>
      <c r="E91" t="str">
        <f t="shared" si="8"/>
        <v>1.3.1.01.01.04.023</v>
      </c>
      <c r="F91" s="14">
        <v>86</v>
      </c>
      <c r="G91" s="24">
        <v>1</v>
      </c>
      <c r="H91" s="24">
        <v>3</v>
      </c>
      <c r="I91" s="24">
        <v>1</v>
      </c>
      <c r="J91" s="25" t="s">
        <v>13</v>
      </c>
      <c r="K91" s="25" t="s">
        <v>13</v>
      </c>
      <c r="L91" s="25" t="s">
        <v>27</v>
      </c>
      <c r="M91" s="25" t="s">
        <v>110</v>
      </c>
      <c r="N91" s="26" t="s">
        <v>145</v>
      </c>
      <c r="O91" s="14" t="b">
        <f t="shared" si="9"/>
        <v>0</v>
      </c>
      <c r="R91" s="14">
        <v>86</v>
      </c>
      <c r="S91" s="28"/>
      <c r="T91" s="28"/>
      <c r="U91" s="28"/>
      <c r="V91" s="28"/>
      <c r="W91" s="28"/>
      <c r="X91" s="28"/>
      <c r="Y91" s="28"/>
      <c r="Z91" s="28"/>
    </row>
    <row r="92" spans="1:26" s="14" customFormat="1" x14ac:dyDescent="0.25">
      <c r="A92" s="1"/>
      <c r="B92" t="s">
        <v>469</v>
      </c>
      <c r="C92" t="str">
        <f t="shared" si="6"/>
        <v>....</v>
      </c>
      <c r="D92" t="str">
        <f t="shared" si="7"/>
        <v>Bertambah</v>
      </c>
      <c r="E92" t="str">
        <f t="shared" si="8"/>
        <v>1.3.1.01.01.04.024</v>
      </c>
      <c r="F92" s="14">
        <v>87</v>
      </c>
      <c r="G92" s="24">
        <v>1</v>
      </c>
      <c r="H92" s="24">
        <v>3</v>
      </c>
      <c r="I92" s="24">
        <v>1</v>
      </c>
      <c r="J92" s="25" t="s">
        <v>13</v>
      </c>
      <c r="K92" s="25" t="s">
        <v>13</v>
      </c>
      <c r="L92" s="25" t="s">
        <v>27</v>
      </c>
      <c r="M92" s="25" t="s">
        <v>112</v>
      </c>
      <c r="N92" s="26" t="s">
        <v>146</v>
      </c>
      <c r="O92" s="14" t="b">
        <f t="shared" si="9"/>
        <v>0</v>
      </c>
      <c r="R92" s="14">
        <v>87</v>
      </c>
      <c r="S92" s="28"/>
      <c r="T92" s="28"/>
      <c r="U92" s="28"/>
      <c r="V92" s="28"/>
      <c r="W92" s="28"/>
      <c r="X92" s="28"/>
      <c r="Y92" s="28"/>
      <c r="Z92" s="28"/>
    </row>
    <row r="93" spans="1:26" s="14" customFormat="1" x14ac:dyDescent="0.25">
      <c r="A93" s="1"/>
      <c r="B93" t="s">
        <v>469</v>
      </c>
      <c r="C93" t="str">
        <f t="shared" si="6"/>
        <v>....</v>
      </c>
      <c r="D93" t="str">
        <f t="shared" si="7"/>
        <v>Bertambah</v>
      </c>
      <c r="E93" t="str">
        <f t="shared" si="8"/>
        <v>1.3.1.01.01.04.025</v>
      </c>
      <c r="F93" s="14">
        <v>88</v>
      </c>
      <c r="G93" s="24">
        <v>1</v>
      </c>
      <c r="H93" s="24">
        <v>3</v>
      </c>
      <c r="I93" s="24">
        <v>1</v>
      </c>
      <c r="J93" s="25" t="s">
        <v>13</v>
      </c>
      <c r="K93" s="25" t="s">
        <v>13</v>
      </c>
      <c r="L93" s="25" t="s">
        <v>27</v>
      </c>
      <c r="M93" s="25" t="s">
        <v>147</v>
      </c>
      <c r="N93" s="26" t="s">
        <v>148</v>
      </c>
      <c r="O93" s="14" t="b">
        <f t="shared" si="9"/>
        <v>0</v>
      </c>
      <c r="R93" s="14">
        <v>88</v>
      </c>
      <c r="S93" s="28"/>
      <c r="T93" s="28"/>
      <c r="U93" s="28"/>
      <c r="V93" s="28"/>
      <c r="W93" s="28"/>
      <c r="X93" s="28"/>
      <c r="Y93" s="28"/>
      <c r="Z93" s="28"/>
    </row>
    <row r="94" spans="1:26" s="1" customFormat="1" ht="15.75" x14ac:dyDescent="0.25">
      <c r="B94" t="s">
        <v>544</v>
      </c>
      <c r="C94" t="str">
        <f t="shared" si="6"/>
        <v>1.1.11.4.25</v>
      </c>
      <c r="D94" t="str">
        <f t="shared" si="7"/>
        <v>Berubah</v>
      </c>
      <c r="E94" t="str">
        <f t="shared" si="8"/>
        <v>1.3.1.01.01.04.026</v>
      </c>
      <c r="F94" s="1">
        <v>89</v>
      </c>
      <c r="G94" s="19">
        <v>1</v>
      </c>
      <c r="H94" s="19">
        <v>3</v>
      </c>
      <c r="I94" s="19">
        <v>1</v>
      </c>
      <c r="J94" s="20" t="s">
        <v>13</v>
      </c>
      <c r="K94" s="20" t="s">
        <v>13</v>
      </c>
      <c r="L94" s="20" t="s">
        <v>27</v>
      </c>
      <c r="M94" s="20" t="s">
        <v>149</v>
      </c>
      <c r="N94" s="21" t="s">
        <v>50</v>
      </c>
      <c r="O94" s="1" t="b">
        <f t="shared" si="9"/>
        <v>0</v>
      </c>
      <c r="R94" s="1">
        <v>89</v>
      </c>
      <c r="S94" s="42">
        <v>1</v>
      </c>
      <c r="T94" s="42">
        <v>1</v>
      </c>
      <c r="U94" s="42">
        <v>11</v>
      </c>
      <c r="V94" s="42">
        <v>4</v>
      </c>
      <c r="W94" s="42">
        <v>25</v>
      </c>
      <c r="X94" s="22" t="s">
        <v>150</v>
      </c>
      <c r="Y94" s="23" t="s">
        <v>16</v>
      </c>
      <c r="Z94" s="23">
        <v>80</v>
      </c>
    </row>
    <row r="95" spans="1:26" s="14" customFormat="1" ht="15.75" x14ac:dyDescent="0.25">
      <c r="A95" s="1"/>
      <c r="B95" t="s">
        <v>545</v>
      </c>
      <c r="C95" t="str">
        <f t="shared" si="6"/>
        <v>1.1.11.4.26</v>
      </c>
      <c r="D95" t="str">
        <f t="shared" si="7"/>
        <v>Keluar</v>
      </c>
      <c r="E95" t="str">
        <f t="shared" si="8"/>
        <v>......</v>
      </c>
      <c r="F95" s="14">
        <v>90</v>
      </c>
      <c r="G95" s="24"/>
      <c r="H95" s="24"/>
      <c r="I95" s="24"/>
      <c r="J95" s="25"/>
      <c r="K95" s="25"/>
      <c r="L95" s="25"/>
      <c r="M95" s="25"/>
      <c r="N95" s="26"/>
      <c r="O95" s="14" t="b">
        <f t="shared" si="9"/>
        <v>0</v>
      </c>
      <c r="R95" s="14">
        <v>90</v>
      </c>
      <c r="S95" s="43">
        <v>1</v>
      </c>
      <c r="T95" s="43">
        <v>1</v>
      </c>
      <c r="U95" s="43">
        <v>11</v>
      </c>
      <c r="V95" s="43">
        <v>4</v>
      </c>
      <c r="W95" s="43">
        <v>26</v>
      </c>
      <c r="X95" s="27" t="s">
        <v>48</v>
      </c>
      <c r="Y95" s="29" t="s">
        <v>16</v>
      </c>
      <c r="Z95" s="29">
        <v>81</v>
      </c>
    </row>
    <row r="96" spans="1:26" s="14" customFormat="1" ht="15.75" x14ac:dyDescent="0.25">
      <c r="A96" s="1"/>
      <c r="B96" t="s">
        <v>546</v>
      </c>
      <c r="C96" t="str">
        <f t="shared" si="6"/>
        <v>1.1.13.12.0</v>
      </c>
      <c r="D96" t="str">
        <f t="shared" si="7"/>
        <v>Berubah</v>
      </c>
      <c r="E96" t="str">
        <f t="shared" si="8"/>
        <v>1.3.1.01.01.05.</v>
      </c>
      <c r="F96" s="1">
        <v>91</v>
      </c>
      <c r="G96" s="19">
        <v>1</v>
      </c>
      <c r="H96" s="19">
        <v>3</v>
      </c>
      <c r="I96" s="19">
        <v>1</v>
      </c>
      <c r="J96" s="20" t="s">
        <v>13</v>
      </c>
      <c r="K96" s="20" t="s">
        <v>13</v>
      </c>
      <c r="L96" s="20" t="s">
        <v>30</v>
      </c>
      <c r="M96" s="20"/>
      <c r="N96" s="31" t="s">
        <v>151</v>
      </c>
      <c r="O96" s="1" t="b">
        <f t="shared" si="9"/>
        <v>0</v>
      </c>
      <c r="P96" s="1"/>
      <c r="Q96" s="1"/>
      <c r="R96" s="1">
        <v>91</v>
      </c>
      <c r="S96" s="42">
        <v>1</v>
      </c>
      <c r="T96" s="42">
        <v>1</v>
      </c>
      <c r="U96" s="42">
        <v>13</v>
      </c>
      <c r="V96" s="42">
        <v>12</v>
      </c>
      <c r="W96" s="42">
        <v>0</v>
      </c>
      <c r="X96" s="22" t="s">
        <v>152</v>
      </c>
      <c r="Y96" s="23" t="s">
        <v>153</v>
      </c>
      <c r="Z96" s="23">
        <v>90</v>
      </c>
    </row>
    <row r="97" spans="1:26" s="14" customFormat="1" ht="15.75" x14ac:dyDescent="0.25">
      <c r="A97" s="1"/>
      <c r="B97" t="s">
        <v>547</v>
      </c>
      <c r="C97" t="str">
        <f t="shared" si="6"/>
        <v>1.1.13.12.1</v>
      </c>
      <c r="D97" t="str">
        <f t="shared" si="7"/>
        <v>Berubah</v>
      </c>
      <c r="E97" t="str">
        <f t="shared" si="8"/>
        <v>1.3.1.01.01.05.001</v>
      </c>
      <c r="F97" s="1">
        <v>92</v>
      </c>
      <c r="G97" s="19">
        <v>1</v>
      </c>
      <c r="H97" s="19">
        <v>3</v>
      </c>
      <c r="I97" s="19">
        <v>1</v>
      </c>
      <c r="J97" s="20" t="s">
        <v>13</v>
      </c>
      <c r="K97" s="20" t="s">
        <v>13</v>
      </c>
      <c r="L97" s="20" t="s">
        <v>30</v>
      </c>
      <c r="M97" s="20" t="s">
        <v>17</v>
      </c>
      <c r="N97" s="21" t="s">
        <v>154</v>
      </c>
      <c r="O97" s="1" t="b">
        <f t="shared" si="9"/>
        <v>0</v>
      </c>
      <c r="P97" s="1"/>
      <c r="Q97" s="1"/>
      <c r="R97" s="1">
        <v>92</v>
      </c>
      <c r="S97" s="42">
        <v>1</v>
      </c>
      <c r="T97" s="42">
        <v>1</v>
      </c>
      <c r="U97" s="42">
        <v>13</v>
      </c>
      <c r="V97" s="42">
        <v>12</v>
      </c>
      <c r="W97" s="42">
        <v>1</v>
      </c>
      <c r="X97" s="22" t="s">
        <v>155</v>
      </c>
      <c r="Y97" s="23" t="s">
        <v>153</v>
      </c>
      <c r="Z97" s="23">
        <v>91</v>
      </c>
    </row>
    <row r="98" spans="1:26" s="14" customFormat="1" ht="15.75" x14ac:dyDescent="0.25">
      <c r="A98" s="1"/>
      <c r="B98" t="s">
        <v>548</v>
      </c>
      <c r="C98" t="str">
        <f t="shared" si="6"/>
        <v>1.1.13.12.2</v>
      </c>
      <c r="D98" t="str">
        <f t="shared" si="7"/>
        <v>Berubah</v>
      </c>
      <c r="E98" t="str">
        <f t="shared" si="8"/>
        <v>1.3.1.01.01.05.002</v>
      </c>
      <c r="F98" s="1">
        <v>93</v>
      </c>
      <c r="G98" s="19">
        <v>1</v>
      </c>
      <c r="H98" s="19">
        <v>3</v>
      </c>
      <c r="I98" s="19">
        <v>1</v>
      </c>
      <c r="J98" s="20" t="s">
        <v>13</v>
      </c>
      <c r="K98" s="20" t="s">
        <v>13</v>
      </c>
      <c r="L98" s="20" t="s">
        <v>30</v>
      </c>
      <c r="M98" s="20" t="s">
        <v>19</v>
      </c>
      <c r="N98" s="21" t="s">
        <v>156</v>
      </c>
      <c r="O98" s="1" t="b">
        <f t="shared" si="9"/>
        <v>0</v>
      </c>
      <c r="P98" s="1"/>
      <c r="Q98" s="1"/>
      <c r="R98" s="1">
        <v>93</v>
      </c>
      <c r="S98" s="42">
        <v>1</v>
      </c>
      <c r="T98" s="42">
        <v>1</v>
      </c>
      <c r="U98" s="42">
        <v>13</v>
      </c>
      <c r="V98" s="42">
        <v>12</v>
      </c>
      <c r="W98" s="42">
        <v>2</v>
      </c>
      <c r="X98" s="22" t="s">
        <v>157</v>
      </c>
      <c r="Y98" s="23" t="s">
        <v>153</v>
      </c>
      <c r="Z98" s="23">
        <v>92</v>
      </c>
    </row>
    <row r="99" spans="1:26" s="1" customFormat="1" ht="15.75" x14ac:dyDescent="0.25">
      <c r="B99" t="s">
        <v>549</v>
      </c>
      <c r="C99" t="str">
        <f t="shared" si="6"/>
        <v>1.1.13.12.3</v>
      </c>
      <c r="D99" t="str">
        <f t="shared" si="7"/>
        <v>Berubah</v>
      </c>
      <c r="E99" t="str">
        <f t="shared" si="8"/>
        <v>1.3.1.01.01.05.003</v>
      </c>
      <c r="F99" s="1">
        <v>94</v>
      </c>
      <c r="G99" s="19">
        <v>1</v>
      </c>
      <c r="H99" s="19">
        <v>3</v>
      </c>
      <c r="I99" s="19">
        <v>1</v>
      </c>
      <c r="J99" s="20" t="s">
        <v>13</v>
      </c>
      <c r="K99" s="20" t="s">
        <v>13</v>
      </c>
      <c r="L99" s="20" t="s">
        <v>30</v>
      </c>
      <c r="M99" s="20" t="s">
        <v>22</v>
      </c>
      <c r="N99" s="21" t="s">
        <v>50</v>
      </c>
      <c r="O99" s="1" t="b">
        <f t="shared" si="9"/>
        <v>0</v>
      </c>
      <c r="R99" s="1">
        <v>94</v>
      </c>
      <c r="S99" s="42">
        <v>1</v>
      </c>
      <c r="T99" s="42">
        <v>1</v>
      </c>
      <c r="U99" s="42">
        <v>13</v>
      </c>
      <c r="V99" s="42">
        <v>12</v>
      </c>
      <c r="W99" s="42">
        <v>3</v>
      </c>
      <c r="X99" s="22" t="s">
        <v>158</v>
      </c>
      <c r="Y99" s="23" t="s">
        <v>153</v>
      </c>
      <c r="Z99" s="23">
        <v>93</v>
      </c>
    </row>
    <row r="100" spans="1:26" s="14" customFormat="1" ht="15.75" x14ac:dyDescent="0.25">
      <c r="A100" s="1"/>
      <c r="B100" t="s">
        <v>550</v>
      </c>
      <c r="C100" t="str">
        <f t="shared" si="6"/>
        <v>1.1.13.12.4</v>
      </c>
      <c r="D100" t="str">
        <f t="shared" si="7"/>
        <v>Keluar</v>
      </c>
      <c r="E100" t="str">
        <f t="shared" si="8"/>
        <v>......</v>
      </c>
      <c r="F100" s="14">
        <v>95</v>
      </c>
      <c r="G100" s="24"/>
      <c r="H100" s="24"/>
      <c r="I100" s="24"/>
      <c r="J100" s="25"/>
      <c r="K100" s="25"/>
      <c r="L100" s="25"/>
      <c r="M100" s="25"/>
      <c r="N100" s="26"/>
      <c r="O100" s="14" t="b">
        <f t="shared" si="9"/>
        <v>0</v>
      </c>
      <c r="R100" s="14">
        <v>95</v>
      </c>
      <c r="S100" s="43">
        <v>1</v>
      </c>
      <c r="T100" s="43">
        <v>1</v>
      </c>
      <c r="U100" s="43">
        <v>13</v>
      </c>
      <c r="V100" s="43">
        <v>12</v>
      </c>
      <c r="W100" s="43">
        <v>4</v>
      </c>
      <c r="X100" s="27" t="s">
        <v>48</v>
      </c>
      <c r="Y100" s="29" t="s">
        <v>153</v>
      </c>
      <c r="Z100" s="29">
        <v>94</v>
      </c>
    </row>
    <row r="101" spans="1:26" s="14" customFormat="1" ht="15.75" x14ac:dyDescent="0.25">
      <c r="A101" s="1"/>
      <c r="B101" t="s">
        <v>551</v>
      </c>
      <c r="C101" t="str">
        <f t="shared" si="6"/>
        <v>1.1.13.13.0</v>
      </c>
      <c r="D101" t="str">
        <f t="shared" si="7"/>
        <v>Berubah</v>
      </c>
      <c r="E101" t="str">
        <f t="shared" si="8"/>
        <v>1.3.1.01.01.06.</v>
      </c>
      <c r="F101">
        <v>96</v>
      </c>
      <c r="G101" s="9">
        <v>1</v>
      </c>
      <c r="H101" s="9">
        <v>3</v>
      </c>
      <c r="I101" s="9">
        <v>1</v>
      </c>
      <c r="J101" s="10" t="s">
        <v>13</v>
      </c>
      <c r="K101" s="10" t="s">
        <v>13</v>
      </c>
      <c r="L101" s="10" t="s">
        <v>33</v>
      </c>
      <c r="M101" s="10"/>
      <c r="N101" s="11" t="s">
        <v>159</v>
      </c>
      <c r="O101" t="b">
        <f t="shared" si="9"/>
        <v>1</v>
      </c>
      <c r="P101"/>
      <c r="Q101"/>
      <c r="R101">
        <v>96</v>
      </c>
      <c r="S101" s="41">
        <v>1</v>
      </c>
      <c r="T101" s="41">
        <v>1</v>
      </c>
      <c r="U101" s="41">
        <v>13</v>
      </c>
      <c r="V101" s="41">
        <v>13</v>
      </c>
      <c r="W101" s="41">
        <v>0</v>
      </c>
      <c r="X101" s="16" t="s">
        <v>159</v>
      </c>
      <c r="Y101" s="17" t="s">
        <v>153</v>
      </c>
      <c r="Z101" s="17">
        <v>95</v>
      </c>
    </row>
    <row r="102" spans="1:26" s="14" customFormat="1" ht="15.75" x14ac:dyDescent="0.25">
      <c r="A102" s="1"/>
      <c r="B102" t="s">
        <v>552</v>
      </c>
      <c r="C102" t="str">
        <f t="shared" si="6"/>
        <v>1.1.13.13.1</v>
      </c>
      <c r="D102" t="str">
        <f t="shared" si="7"/>
        <v>Berubah</v>
      </c>
      <c r="E102" t="str">
        <f t="shared" si="8"/>
        <v>1.3.1.01.01.06.001</v>
      </c>
      <c r="F102">
        <v>97</v>
      </c>
      <c r="G102" s="9">
        <v>1</v>
      </c>
      <c r="H102" s="9">
        <v>3</v>
      </c>
      <c r="I102" s="9">
        <v>1</v>
      </c>
      <c r="J102" s="10" t="s">
        <v>13</v>
      </c>
      <c r="K102" s="10" t="s">
        <v>13</v>
      </c>
      <c r="L102" s="10" t="s">
        <v>33</v>
      </c>
      <c r="M102" s="10" t="s">
        <v>17</v>
      </c>
      <c r="N102" s="18" t="s">
        <v>160</v>
      </c>
      <c r="O102" t="b">
        <f t="shared" si="9"/>
        <v>1</v>
      </c>
      <c r="P102"/>
      <c r="Q102"/>
      <c r="R102">
        <v>97</v>
      </c>
      <c r="S102" s="41">
        <v>1</v>
      </c>
      <c r="T102" s="41">
        <v>1</v>
      </c>
      <c r="U102" s="41">
        <v>13</v>
      </c>
      <c r="V102" s="41">
        <v>13</v>
      </c>
      <c r="W102" s="41">
        <v>1</v>
      </c>
      <c r="X102" s="16" t="s">
        <v>160</v>
      </c>
      <c r="Y102" s="17" t="s">
        <v>153</v>
      </c>
      <c r="Z102" s="17">
        <v>96</v>
      </c>
    </row>
    <row r="103" spans="1:26" s="14" customFormat="1" ht="15.75" x14ac:dyDescent="0.25">
      <c r="A103" s="1"/>
      <c r="B103" t="s">
        <v>553</v>
      </c>
      <c r="C103" t="str">
        <f t="shared" si="6"/>
        <v>1.1.13.13.2</v>
      </c>
      <c r="D103" t="str">
        <f t="shared" si="7"/>
        <v>Berubah</v>
      </c>
      <c r="E103" t="str">
        <f t="shared" si="8"/>
        <v>1.3.1.01.01.06.002</v>
      </c>
      <c r="F103">
        <v>98</v>
      </c>
      <c r="G103" s="9">
        <v>1</v>
      </c>
      <c r="H103" s="9">
        <v>3</v>
      </c>
      <c r="I103" s="9">
        <v>1</v>
      </c>
      <c r="J103" s="10" t="s">
        <v>13</v>
      </c>
      <c r="K103" s="10" t="s">
        <v>13</v>
      </c>
      <c r="L103" s="10" t="s">
        <v>33</v>
      </c>
      <c r="M103" s="10" t="s">
        <v>19</v>
      </c>
      <c r="N103" s="18" t="s">
        <v>161</v>
      </c>
      <c r="O103" t="b">
        <f t="shared" si="9"/>
        <v>1</v>
      </c>
      <c r="P103"/>
      <c r="Q103"/>
      <c r="R103">
        <v>98</v>
      </c>
      <c r="S103" s="41">
        <v>1</v>
      </c>
      <c r="T103" s="41">
        <v>1</v>
      </c>
      <c r="U103" s="41">
        <v>13</v>
      </c>
      <c r="V103" s="41">
        <v>13</v>
      </c>
      <c r="W103" s="41">
        <v>2</v>
      </c>
      <c r="X103" s="16" t="s">
        <v>161</v>
      </c>
      <c r="Y103" s="17" t="s">
        <v>153</v>
      </c>
      <c r="Z103" s="17">
        <v>97</v>
      </c>
    </row>
    <row r="104" spans="1:26" s="14" customFormat="1" ht="15.75" x14ac:dyDescent="0.25">
      <c r="A104" s="1"/>
      <c r="B104" t="s">
        <v>554</v>
      </c>
      <c r="C104" t="str">
        <f t="shared" si="6"/>
        <v>1.1.13.13.3</v>
      </c>
      <c r="D104" t="str">
        <f t="shared" si="7"/>
        <v>Berubah</v>
      </c>
      <c r="E104" t="str">
        <f t="shared" si="8"/>
        <v>1.3.1.01.01.06.003</v>
      </c>
      <c r="F104">
        <v>99</v>
      </c>
      <c r="G104" s="9">
        <v>1</v>
      </c>
      <c r="H104" s="9">
        <v>3</v>
      </c>
      <c r="I104" s="9">
        <v>1</v>
      </c>
      <c r="J104" s="10" t="s">
        <v>13</v>
      </c>
      <c r="K104" s="10" t="s">
        <v>13</v>
      </c>
      <c r="L104" s="10" t="s">
        <v>33</v>
      </c>
      <c r="M104" s="10" t="s">
        <v>22</v>
      </c>
      <c r="N104" s="18" t="s">
        <v>162</v>
      </c>
      <c r="O104" t="b">
        <f t="shared" si="9"/>
        <v>1</v>
      </c>
      <c r="P104"/>
      <c r="Q104"/>
      <c r="R104">
        <v>99</v>
      </c>
      <c r="S104" s="41">
        <v>1</v>
      </c>
      <c r="T104" s="41">
        <v>1</v>
      </c>
      <c r="U104" s="41">
        <v>13</v>
      </c>
      <c r="V104" s="41">
        <v>13</v>
      </c>
      <c r="W104" s="41">
        <v>3</v>
      </c>
      <c r="X104" s="16" t="s">
        <v>162</v>
      </c>
      <c r="Y104" s="17" t="s">
        <v>153</v>
      </c>
      <c r="Z104" s="17">
        <v>98</v>
      </c>
    </row>
    <row r="105" spans="1:26" s="14" customFormat="1" ht="15.75" x14ac:dyDescent="0.25">
      <c r="A105" s="1"/>
      <c r="B105" t="s">
        <v>555</v>
      </c>
      <c r="C105" t="str">
        <f t="shared" si="6"/>
        <v>1.1.13.13.4</v>
      </c>
      <c r="D105" t="str">
        <f t="shared" si="7"/>
        <v>Berubah</v>
      </c>
      <c r="E105" t="str">
        <f t="shared" si="8"/>
        <v>1.3.1.01.01.06.004</v>
      </c>
      <c r="F105">
        <v>100</v>
      </c>
      <c r="G105" s="9">
        <v>1</v>
      </c>
      <c r="H105" s="9">
        <v>3</v>
      </c>
      <c r="I105" s="9">
        <v>1</v>
      </c>
      <c r="J105" s="10" t="s">
        <v>13</v>
      </c>
      <c r="K105" s="10" t="s">
        <v>13</v>
      </c>
      <c r="L105" s="10" t="s">
        <v>33</v>
      </c>
      <c r="M105" s="10" t="s">
        <v>25</v>
      </c>
      <c r="N105" s="18" t="s">
        <v>163</v>
      </c>
      <c r="O105" t="b">
        <f t="shared" si="9"/>
        <v>1</v>
      </c>
      <c r="P105"/>
      <c r="Q105"/>
      <c r="R105">
        <v>100</v>
      </c>
      <c r="S105" s="41">
        <v>1</v>
      </c>
      <c r="T105" s="41">
        <v>1</v>
      </c>
      <c r="U105" s="41">
        <v>13</v>
      </c>
      <c r="V105" s="41">
        <v>13</v>
      </c>
      <c r="W105" s="41">
        <v>4</v>
      </c>
      <c r="X105" s="16" t="s">
        <v>163</v>
      </c>
      <c r="Y105" s="17" t="s">
        <v>153</v>
      </c>
      <c r="Z105" s="17">
        <v>99</v>
      </c>
    </row>
    <row r="106" spans="1:26" s="14" customFormat="1" ht="15.75" x14ac:dyDescent="0.25">
      <c r="A106" s="1"/>
      <c r="B106" t="s">
        <v>556</v>
      </c>
      <c r="C106" t="str">
        <f t="shared" si="6"/>
        <v>1.1.13.13.5</v>
      </c>
      <c r="D106" t="str">
        <f t="shared" si="7"/>
        <v>Berubah</v>
      </c>
      <c r="E106" t="str">
        <f t="shared" si="8"/>
        <v>1.3.1.01.01.06.005</v>
      </c>
      <c r="F106">
        <v>101</v>
      </c>
      <c r="G106" s="9">
        <v>1</v>
      </c>
      <c r="H106" s="9">
        <v>3</v>
      </c>
      <c r="I106" s="9">
        <v>1</v>
      </c>
      <c r="J106" s="10" t="s">
        <v>13</v>
      </c>
      <c r="K106" s="10" t="s">
        <v>13</v>
      </c>
      <c r="L106" s="10" t="s">
        <v>33</v>
      </c>
      <c r="M106" s="10" t="s">
        <v>28</v>
      </c>
      <c r="N106" s="18" t="s">
        <v>164</v>
      </c>
      <c r="O106" t="b">
        <f t="shared" si="9"/>
        <v>1</v>
      </c>
      <c r="P106"/>
      <c r="Q106"/>
      <c r="R106">
        <v>101</v>
      </c>
      <c r="S106" s="41">
        <v>1</v>
      </c>
      <c r="T106" s="41">
        <v>1</v>
      </c>
      <c r="U106" s="41">
        <v>13</v>
      </c>
      <c r="V106" s="41">
        <v>13</v>
      </c>
      <c r="W106" s="41">
        <v>5</v>
      </c>
      <c r="X106" s="16" t="s">
        <v>164</v>
      </c>
      <c r="Y106" s="17" t="s">
        <v>153</v>
      </c>
      <c r="Z106" s="17">
        <v>100</v>
      </c>
    </row>
    <row r="107" spans="1:26" s="14" customFormat="1" ht="15.75" x14ac:dyDescent="0.25">
      <c r="A107" s="1"/>
      <c r="B107" t="s">
        <v>557</v>
      </c>
      <c r="C107" t="str">
        <f t="shared" si="6"/>
        <v>1.1.13.13.6</v>
      </c>
      <c r="D107" t="str">
        <f t="shared" si="7"/>
        <v>Berubah</v>
      </c>
      <c r="E107" t="str">
        <f t="shared" si="8"/>
        <v>1.3.1.01.01.06.006</v>
      </c>
      <c r="F107">
        <v>102</v>
      </c>
      <c r="G107" s="9">
        <v>1</v>
      </c>
      <c r="H107" s="9">
        <v>3</v>
      </c>
      <c r="I107" s="9">
        <v>1</v>
      </c>
      <c r="J107" s="10" t="s">
        <v>13</v>
      </c>
      <c r="K107" s="10" t="s">
        <v>13</v>
      </c>
      <c r="L107" s="10" t="s">
        <v>33</v>
      </c>
      <c r="M107" s="10" t="s">
        <v>31</v>
      </c>
      <c r="N107" s="18" t="s">
        <v>165</v>
      </c>
      <c r="O107" t="b">
        <f t="shared" si="9"/>
        <v>1</v>
      </c>
      <c r="P107"/>
      <c r="Q107"/>
      <c r="R107">
        <v>102</v>
      </c>
      <c r="S107" s="41">
        <v>1</v>
      </c>
      <c r="T107" s="41">
        <v>1</v>
      </c>
      <c r="U107" s="41">
        <v>13</v>
      </c>
      <c r="V107" s="41">
        <v>13</v>
      </c>
      <c r="W107" s="41">
        <v>6</v>
      </c>
      <c r="X107" s="16" t="s">
        <v>165</v>
      </c>
      <c r="Y107" s="17" t="s">
        <v>153</v>
      </c>
      <c r="Z107" s="17">
        <v>101</v>
      </c>
    </row>
    <row r="108" spans="1:26" s="1" customFormat="1" ht="15.75" x14ac:dyDescent="0.25">
      <c r="B108" t="s">
        <v>558</v>
      </c>
      <c r="C108" t="str">
        <f t="shared" si="6"/>
        <v>1.1.13.13.7</v>
      </c>
      <c r="D108" t="str">
        <f t="shared" si="7"/>
        <v>Berubah</v>
      </c>
      <c r="E108" t="str">
        <f t="shared" si="8"/>
        <v>1.3.1.01.01.06.007</v>
      </c>
      <c r="F108" s="1">
        <v>103</v>
      </c>
      <c r="G108" s="19">
        <v>1</v>
      </c>
      <c r="H108" s="19">
        <v>3</v>
      </c>
      <c r="I108" s="19">
        <v>1</v>
      </c>
      <c r="J108" s="20" t="s">
        <v>13</v>
      </c>
      <c r="K108" s="20" t="s">
        <v>13</v>
      </c>
      <c r="L108" s="20" t="s">
        <v>33</v>
      </c>
      <c r="M108" s="20" t="s">
        <v>34</v>
      </c>
      <c r="N108" s="21" t="s">
        <v>50</v>
      </c>
      <c r="O108" s="1" t="b">
        <f t="shared" si="9"/>
        <v>0</v>
      </c>
      <c r="R108" s="1">
        <v>103</v>
      </c>
      <c r="S108" s="42">
        <v>1</v>
      </c>
      <c r="T108" s="42">
        <v>1</v>
      </c>
      <c r="U108" s="42">
        <v>13</v>
      </c>
      <c r="V108" s="42">
        <v>13</v>
      </c>
      <c r="W108" s="42">
        <v>7</v>
      </c>
      <c r="X108" s="22" t="s">
        <v>48</v>
      </c>
      <c r="Y108" s="23" t="s">
        <v>153</v>
      </c>
      <c r="Z108" s="23">
        <v>102</v>
      </c>
    </row>
    <row r="109" spans="1:26" s="14" customFormat="1" x14ac:dyDescent="0.25">
      <c r="A109" s="1"/>
      <c r="B109" t="s">
        <v>469</v>
      </c>
      <c r="C109" t="str">
        <f t="shared" si="6"/>
        <v>....</v>
      </c>
      <c r="D109" t="str">
        <f t="shared" si="7"/>
        <v>Bertambah</v>
      </c>
      <c r="E109" t="str">
        <f t="shared" si="8"/>
        <v>1.3.1.01.01.07.</v>
      </c>
      <c r="F109" s="14">
        <v>104</v>
      </c>
      <c r="G109" s="24">
        <v>1</v>
      </c>
      <c r="H109" s="24">
        <v>3</v>
      </c>
      <c r="I109" s="24">
        <v>1</v>
      </c>
      <c r="J109" s="25" t="s">
        <v>13</v>
      </c>
      <c r="K109" s="25" t="s">
        <v>13</v>
      </c>
      <c r="L109" s="25" t="s">
        <v>36</v>
      </c>
      <c r="M109" s="25"/>
      <c r="N109" s="26" t="s">
        <v>166</v>
      </c>
      <c r="O109" s="14" t="b">
        <f t="shared" si="9"/>
        <v>0</v>
      </c>
      <c r="R109" s="14">
        <v>104</v>
      </c>
      <c r="S109" s="32"/>
      <c r="T109" s="32"/>
      <c r="U109" s="32"/>
      <c r="V109" s="32"/>
      <c r="W109" s="32"/>
      <c r="X109" s="32"/>
      <c r="Y109" s="32"/>
      <c r="Z109" s="32"/>
    </row>
    <row r="110" spans="1:26" s="1" customFormat="1" x14ac:dyDescent="0.25">
      <c r="B110" t="s">
        <v>469</v>
      </c>
      <c r="C110" t="str">
        <f t="shared" si="6"/>
        <v>....</v>
      </c>
      <c r="D110" t="str">
        <f t="shared" si="7"/>
        <v>Bertambah</v>
      </c>
      <c r="E110" t="str">
        <f t="shared" si="8"/>
        <v>1.3.1.01.01.07.001</v>
      </c>
      <c r="F110" s="1">
        <v>105</v>
      </c>
      <c r="G110" s="19">
        <v>1</v>
      </c>
      <c r="H110" s="19">
        <v>3</v>
      </c>
      <c r="I110" s="19">
        <v>1</v>
      </c>
      <c r="J110" s="20" t="s">
        <v>13</v>
      </c>
      <c r="K110" s="20" t="s">
        <v>13</v>
      </c>
      <c r="L110" s="20" t="s">
        <v>36</v>
      </c>
      <c r="M110" s="20" t="s">
        <v>17</v>
      </c>
      <c r="N110" s="21" t="s">
        <v>50</v>
      </c>
      <c r="O110" s="1" t="b">
        <f t="shared" si="9"/>
        <v>0</v>
      </c>
      <c r="R110" s="1">
        <v>105</v>
      </c>
      <c r="S110" s="33"/>
      <c r="T110" s="33"/>
      <c r="U110" s="33"/>
      <c r="V110" s="33"/>
      <c r="W110" s="33"/>
      <c r="X110" s="33"/>
      <c r="Y110" s="33"/>
      <c r="Z110" s="33"/>
    </row>
    <row r="111" spans="1:26" s="14" customFormat="1" x14ac:dyDescent="0.25">
      <c r="A111" s="1"/>
      <c r="B111" t="s">
        <v>469</v>
      </c>
      <c r="C111" t="str">
        <f t="shared" si="6"/>
        <v>....</v>
      </c>
      <c r="D111" t="str">
        <f t="shared" si="7"/>
        <v>Bertambah</v>
      </c>
      <c r="E111" t="str">
        <f t="shared" si="8"/>
        <v>1.3.1.01.02..</v>
      </c>
      <c r="F111" s="14">
        <v>106</v>
      </c>
      <c r="G111" s="24">
        <v>1</v>
      </c>
      <c r="H111" s="24">
        <v>3</v>
      </c>
      <c r="I111" s="24">
        <v>1</v>
      </c>
      <c r="J111" s="25" t="s">
        <v>13</v>
      </c>
      <c r="K111" s="25" t="s">
        <v>21</v>
      </c>
      <c r="L111" s="25"/>
      <c r="M111" s="25"/>
      <c r="N111" s="26" t="s">
        <v>167</v>
      </c>
      <c r="O111" s="14" t="b">
        <f t="shared" si="9"/>
        <v>0</v>
      </c>
      <c r="R111" s="14">
        <v>106</v>
      </c>
      <c r="S111" s="32"/>
      <c r="T111" s="32"/>
      <c r="U111" s="32"/>
      <c r="V111" s="32"/>
      <c r="W111" s="32"/>
      <c r="X111" s="32"/>
      <c r="Y111" s="32"/>
      <c r="Z111" s="32"/>
    </row>
    <row r="112" spans="1:26" s="14" customFormat="1" x14ac:dyDescent="0.25">
      <c r="A112" s="1"/>
      <c r="B112" t="s">
        <v>469</v>
      </c>
      <c r="C112" t="str">
        <f t="shared" si="6"/>
        <v>....</v>
      </c>
      <c r="D112" t="str">
        <f t="shared" si="7"/>
        <v>Bertambah</v>
      </c>
      <c r="E112" t="str">
        <f t="shared" si="8"/>
        <v>1.3.1.01.02.01.</v>
      </c>
      <c r="F112" s="1">
        <v>107</v>
      </c>
      <c r="G112" s="19">
        <v>1</v>
      </c>
      <c r="H112" s="19">
        <v>3</v>
      </c>
      <c r="I112" s="19">
        <v>1</v>
      </c>
      <c r="J112" s="20" t="s">
        <v>13</v>
      </c>
      <c r="K112" s="20" t="s">
        <v>21</v>
      </c>
      <c r="L112" s="20" t="s">
        <v>13</v>
      </c>
      <c r="M112" s="20"/>
      <c r="N112" s="21" t="s">
        <v>168</v>
      </c>
      <c r="O112" s="1" t="b">
        <f t="shared" si="9"/>
        <v>0</v>
      </c>
      <c r="P112" s="1"/>
      <c r="Q112" s="1"/>
      <c r="R112" s="1">
        <v>107</v>
      </c>
      <c r="S112" s="33"/>
      <c r="T112" s="33"/>
      <c r="U112" s="33"/>
      <c r="V112" s="33"/>
      <c r="W112" s="33"/>
      <c r="X112" s="33"/>
      <c r="Y112" s="33"/>
      <c r="Z112" s="33"/>
    </row>
    <row r="113" spans="1:26" s="14" customFormat="1" ht="15.75" x14ac:dyDescent="0.25">
      <c r="A113" s="1"/>
      <c r="B113" t="s">
        <v>559</v>
      </c>
      <c r="C113" t="str">
        <f t="shared" si="6"/>
        <v>1.1.7.0.0</v>
      </c>
      <c r="D113" t="str">
        <f t="shared" si="7"/>
        <v>Berubah</v>
      </c>
      <c r="E113" t="str">
        <f t="shared" si="8"/>
        <v>1.3.1.01.02.01.001</v>
      </c>
      <c r="F113" s="1">
        <v>108</v>
      </c>
      <c r="G113" s="19">
        <v>1</v>
      </c>
      <c r="H113" s="19">
        <v>3</v>
      </c>
      <c r="I113" s="19">
        <v>1</v>
      </c>
      <c r="J113" s="20" t="s">
        <v>13</v>
      </c>
      <c r="K113" s="20" t="s">
        <v>21</v>
      </c>
      <c r="L113" s="20" t="s">
        <v>13</v>
      </c>
      <c r="M113" s="20" t="s">
        <v>17</v>
      </c>
      <c r="N113" s="21" t="s">
        <v>169</v>
      </c>
      <c r="O113" s="1" t="b">
        <f t="shared" si="9"/>
        <v>0</v>
      </c>
      <c r="P113" s="1"/>
      <c r="Q113" s="1"/>
      <c r="R113" s="1">
        <v>108</v>
      </c>
      <c r="S113" s="42">
        <v>1</v>
      </c>
      <c r="T113" s="42">
        <v>1</v>
      </c>
      <c r="U113" s="42">
        <v>7</v>
      </c>
      <c r="V113" s="42">
        <v>0</v>
      </c>
      <c r="W113" s="42">
        <v>0</v>
      </c>
      <c r="X113" s="22" t="s">
        <v>170</v>
      </c>
      <c r="Y113" s="23" t="s">
        <v>171</v>
      </c>
      <c r="Z113" s="23">
        <v>8</v>
      </c>
    </row>
    <row r="114" spans="1:26" s="14" customFormat="1" ht="15.75" x14ac:dyDescent="0.25">
      <c r="A114" s="1"/>
      <c r="B114" t="s">
        <v>560</v>
      </c>
      <c r="C114" t="str">
        <f t="shared" si="6"/>
        <v>1.1.7.1.0</v>
      </c>
      <c r="D114" t="str">
        <f t="shared" si="7"/>
        <v>Keluar</v>
      </c>
      <c r="E114" t="str">
        <f t="shared" si="8"/>
        <v>......</v>
      </c>
      <c r="F114" s="1">
        <v>109</v>
      </c>
      <c r="G114" s="19"/>
      <c r="H114" s="19"/>
      <c r="I114" s="19"/>
      <c r="J114" s="20"/>
      <c r="K114" s="20"/>
      <c r="L114" s="20"/>
      <c r="M114" s="20"/>
      <c r="N114" s="21"/>
      <c r="O114" s="1" t="b">
        <f t="shared" si="9"/>
        <v>0</v>
      </c>
      <c r="P114" s="1"/>
      <c r="Q114" s="1"/>
      <c r="R114" s="1">
        <v>109</v>
      </c>
      <c r="S114" s="42">
        <v>1</v>
      </c>
      <c r="T114" s="42">
        <v>1</v>
      </c>
      <c r="U114" s="42">
        <v>7</v>
      </c>
      <c r="V114" s="42">
        <v>1</v>
      </c>
      <c r="W114" s="42">
        <v>0</v>
      </c>
      <c r="X114" s="22" t="s">
        <v>172</v>
      </c>
      <c r="Y114" s="23" t="s">
        <v>171</v>
      </c>
      <c r="Z114" s="23">
        <v>9</v>
      </c>
    </row>
    <row r="115" spans="1:26" s="14" customFormat="1" ht="15.75" x14ac:dyDescent="0.25">
      <c r="A115" s="1"/>
      <c r="B115" t="s">
        <v>561</v>
      </c>
      <c r="C115" t="str">
        <f t="shared" si="6"/>
        <v>1.1.7.1.1</v>
      </c>
      <c r="D115" t="str">
        <f t="shared" si="7"/>
        <v>Keluar</v>
      </c>
      <c r="E115" t="str">
        <f t="shared" si="8"/>
        <v>......</v>
      </c>
      <c r="F115" s="1">
        <v>110</v>
      </c>
      <c r="G115" s="19"/>
      <c r="H115" s="19"/>
      <c r="I115" s="19"/>
      <c r="J115" s="20"/>
      <c r="K115" s="20"/>
      <c r="L115" s="20"/>
      <c r="M115" s="20"/>
      <c r="N115" s="21"/>
      <c r="O115" s="1" t="b">
        <f t="shared" si="9"/>
        <v>0</v>
      </c>
      <c r="P115" s="1"/>
      <c r="Q115" s="1"/>
      <c r="R115" s="1">
        <v>110</v>
      </c>
      <c r="S115" s="42">
        <v>1</v>
      </c>
      <c r="T115" s="42">
        <v>1</v>
      </c>
      <c r="U115" s="42">
        <v>7</v>
      </c>
      <c r="V115" s="42">
        <v>1</v>
      </c>
      <c r="W115" s="42">
        <v>1</v>
      </c>
      <c r="X115" s="22" t="s">
        <v>172</v>
      </c>
      <c r="Y115" s="23" t="s">
        <v>171</v>
      </c>
      <c r="Z115" s="23">
        <v>10</v>
      </c>
    </row>
    <row r="116" spans="1:26" s="14" customFormat="1" ht="15" customHeight="1" x14ac:dyDescent="0.25">
      <c r="A116" s="1"/>
      <c r="B116" t="s">
        <v>562</v>
      </c>
      <c r="C116" t="str">
        <f t="shared" si="6"/>
        <v>1.1.7.1.2</v>
      </c>
      <c r="D116" t="str">
        <f t="shared" si="7"/>
        <v>Keluar</v>
      </c>
      <c r="E116" t="str">
        <f t="shared" si="8"/>
        <v>......</v>
      </c>
      <c r="F116" s="1">
        <v>111</v>
      </c>
      <c r="G116" s="19"/>
      <c r="H116" s="19"/>
      <c r="I116" s="19"/>
      <c r="J116" s="20"/>
      <c r="K116" s="20"/>
      <c r="L116" s="20"/>
      <c r="M116" s="20"/>
      <c r="N116" s="21"/>
      <c r="O116" s="1" t="b">
        <f t="shared" si="9"/>
        <v>0</v>
      </c>
      <c r="P116" s="1"/>
      <c r="Q116" s="1"/>
      <c r="R116" s="1">
        <v>111</v>
      </c>
      <c r="S116" s="42">
        <v>1</v>
      </c>
      <c r="T116" s="42">
        <v>1</v>
      </c>
      <c r="U116" s="42">
        <v>7</v>
      </c>
      <c r="V116" s="42">
        <v>1</v>
      </c>
      <c r="W116" s="42">
        <v>2</v>
      </c>
      <c r="X116" s="22" t="s">
        <v>48</v>
      </c>
      <c r="Y116" s="23" t="s">
        <v>171</v>
      </c>
      <c r="Z116" s="23">
        <v>11</v>
      </c>
    </row>
    <row r="117" spans="1:26" s="1" customFormat="1" ht="15.75" x14ac:dyDescent="0.25">
      <c r="B117" t="s">
        <v>563</v>
      </c>
      <c r="C117" t="str">
        <f t="shared" si="6"/>
        <v>1.1.7.2.0</v>
      </c>
      <c r="D117" t="str">
        <f t="shared" si="7"/>
        <v>Berubah</v>
      </c>
      <c r="E117" t="str">
        <f t="shared" si="8"/>
        <v>1.3.1.01.02.01.002</v>
      </c>
      <c r="F117" s="1">
        <v>112</v>
      </c>
      <c r="G117" s="19">
        <v>1</v>
      </c>
      <c r="H117" s="19">
        <v>3</v>
      </c>
      <c r="I117" s="19">
        <v>1</v>
      </c>
      <c r="J117" s="20" t="s">
        <v>13</v>
      </c>
      <c r="K117" s="20" t="s">
        <v>21</v>
      </c>
      <c r="L117" s="20" t="s">
        <v>13</v>
      </c>
      <c r="M117" s="20" t="s">
        <v>19</v>
      </c>
      <c r="N117" s="21" t="s">
        <v>173</v>
      </c>
      <c r="O117" s="1" t="b">
        <f t="shared" si="9"/>
        <v>0</v>
      </c>
      <c r="R117" s="1">
        <v>112</v>
      </c>
      <c r="S117" s="42">
        <v>1</v>
      </c>
      <c r="T117" s="42">
        <v>1</v>
      </c>
      <c r="U117" s="42">
        <v>7</v>
      </c>
      <c r="V117" s="42">
        <v>2</v>
      </c>
      <c r="W117" s="42">
        <v>0</v>
      </c>
      <c r="X117" s="22" t="s">
        <v>174</v>
      </c>
      <c r="Y117" s="23" t="s">
        <v>171</v>
      </c>
      <c r="Z117" s="23">
        <v>12</v>
      </c>
    </row>
    <row r="118" spans="1:26" s="1" customFormat="1" ht="15.75" x14ac:dyDescent="0.25">
      <c r="B118" t="s">
        <v>564</v>
      </c>
      <c r="C118" t="str">
        <f t="shared" si="6"/>
        <v>1.1.7.2.1</v>
      </c>
      <c r="D118" t="str">
        <f t="shared" si="7"/>
        <v>Keluar</v>
      </c>
      <c r="E118" t="str">
        <f t="shared" si="8"/>
        <v>......</v>
      </c>
      <c r="F118" s="1">
        <v>113</v>
      </c>
      <c r="G118" s="19"/>
      <c r="H118" s="19"/>
      <c r="I118" s="19"/>
      <c r="J118" s="20"/>
      <c r="K118" s="20"/>
      <c r="L118" s="20"/>
      <c r="M118" s="20"/>
      <c r="N118" s="21"/>
      <c r="O118" s="1" t="b">
        <f t="shared" si="9"/>
        <v>0</v>
      </c>
      <c r="R118" s="1">
        <v>113</v>
      </c>
      <c r="S118" s="42">
        <v>1</v>
      </c>
      <c r="T118" s="42">
        <v>1</v>
      </c>
      <c r="U118" s="42">
        <v>7</v>
      </c>
      <c r="V118" s="42">
        <v>2</v>
      </c>
      <c r="W118" s="42">
        <v>1</v>
      </c>
      <c r="X118" s="22" t="s">
        <v>175</v>
      </c>
      <c r="Y118" s="23" t="s">
        <v>171</v>
      </c>
      <c r="Z118" s="23">
        <v>13</v>
      </c>
    </row>
    <row r="119" spans="1:26" s="1" customFormat="1" ht="15.75" x14ac:dyDescent="0.25">
      <c r="B119" t="s">
        <v>565</v>
      </c>
      <c r="C119" t="str">
        <f t="shared" si="6"/>
        <v>1.1.6.0.0</v>
      </c>
      <c r="D119" t="str">
        <f t="shared" si="7"/>
        <v>Berubah</v>
      </c>
      <c r="E119" t="str">
        <f t="shared" si="8"/>
        <v>1.3.1.01.02.01.003</v>
      </c>
      <c r="F119" s="1">
        <v>114</v>
      </c>
      <c r="G119" s="19">
        <v>1</v>
      </c>
      <c r="H119" s="19">
        <v>3</v>
      </c>
      <c r="I119" s="19">
        <v>1</v>
      </c>
      <c r="J119" s="20" t="s">
        <v>13</v>
      </c>
      <c r="K119" s="20" t="s">
        <v>21</v>
      </c>
      <c r="L119" s="20" t="s">
        <v>13</v>
      </c>
      <c r="M119" s="20" t="s">
        <v>22</v>
      </c>
      <c r="N119" s="21" t="s">
        <v>176</v>
      </c>
      <c r="O119" s="1" t="b">
        <f t="shared" si="9"/>
        <v>0</v>
      </c>
      <c r="R119" s="1">
        <v>114</v>
      </c>
      <c r="S119" s="42">
        <v>1</v>
      </c>
      <c r="T119" s="42">
        <v>1</v>
      </c>
      <c r="U119" s="42">
        <v>6</v>
      </c>
      <c r="V119" s="42">
        <v>0</v>
      </c>
      <c r="W119" s="42">
        <v>0</v>
      </c>
      <c r="X119" s="22" t="s">
        <v>177</v>
      </c>
      <c r="Y119" s="23" t="s">
        <v>171</v>
      </c>
      <c r="Z119" s="23">
        <v>1</v>
      </c>
    </row>
    <row r="120" spans="1:26" s="1" customFormat="1" ht="15.75" x14ac:dyDescent="0.25">
      <c r="B120" t="s">
        <v>566</v>
      </c>
      <c r="C120" t="str">
        <f t="shared" si="6"/>
        <v>1.1.6.1.0</v>
      </c>
      <c r="D120" t="str">
        <f t="shared" si="7"/>
        <v>Keluar</v>
      </c>
      <c r="E120" t="str">
        <f t="shared" si="8"/>
        <v>......</v>
      </c>
      <c r="F120" s="1">
        <v>115</v>
      </c>
      <c r="G120" s="19"/>
      <c r="H120" s="19"/>
      <c r="I120" s="19"/>
      <c r="J120" s="20"/>
      <c r="K120" s="20"/>
      <c r="L120" s="20"/>
      <c r="M120" s="20"/>
      <c r="N120" s="21"/>
      <c r="O120" s="1" t="b">
        <f t="shared" si="9"/>
        <v>0</v>
      </c>
      <c r="R120" s="1">
        <v>115</v>
      </c>
      <c r="S120" s="42">
        <v>1</v>
      </c>
      <c r="T120" s="42">
        <v>1</v>
      </c>
      <c r="U120" s="42">
        <v>6</v>
      </c>
      <c r="V120" s="42">
        <v>1</v>
      </c>
      <c r="W120" s="42">
        <v>0</v>
      </c>
      <c r="X120" s="22" t="s">
        <v>178</v>
      </c>
      <c r="Y120" s="23" t="s">
        <v>171</v>
      </c>
      <c r="Z120" s="23">
        <v>2</v>
      </c>
    </row>
    <row r="121" spans="1:26" s="1" customFormat="1" ht="15.75" x14ac:dyDescent="0.25">
      <c r="B121" t="s">
        <v>567</v>
      </c>
      <c r="C121" t="str">
        <f t="shared" si="6"/>
        <v>1.1.6.1.1</v>
      </c>
      <c r="D121" t="str">
        <f t="shared" si="7"/>
        <v>Keluar</v>
      </c>
      <c r="E121" t="str">
        <f t="shared" si="8"/>
        <v>......</v>
      </c>
      <c r="F121" s="1">
        <v>116</v>
      </c>
      <c r="G121" s="19"/>
      <c r="H121" s="19"/>
      <c r="I121" s="19"/>
      <c r="J121" s="20"/>
      <c r="K121" s="20"/>
      <c r="L121" s="20"/>
      <c r="M121" s="20"/>
      <c r="N121" s="21"/>
      <c r="O121" s="1" t="b">
        <f t="shared" si="9"/>
        <v>0</v>
      </c>
      <c r="R121" s="1">
        <v>116</v>
      </c>
      <c r="S121" s="42">
        <v>1</v>
      </c>
      <c r="T121" s="42">
        <v>1</v>
      </c>
      <c r="U121" s="42">
        <v>6</v>
      </c>
      <c r="V121" s="42">
        <v>1</v>
      </c>
      <c r="W121" s="42">
        <v>1</v>
      </c>
      <c r="X121" s="22" t="s">
        <v>178</v>
      </c>
      <c r="Y121" s="23" t="s">
        <v>171</v>
      </c>
      <c r="Z121" s="23">
        <v>3</v>
      </c>
    </row>
    <row r="122" spans="1:26" s="1" customFormat="1" ht="15.75" x14ac:dyDescent="0.25">
      <c r="B122" t="s">
        <v>568</v>
      </c>
      <c r="C122" t="str">
        <f t="shared" si="6"/>
        <v>1.1.6.1.2</v>
      </c>
      <c r="D122" t="str">
        <f t="shared" si="7"/>
        <v>Keluar</v>
      </c>
      <c r="E122" t="str">
        <f t="shared" si="8"/>
        <v>......</v>
      </c>
      <c r="F122" s="1">
        <v>117</v>
      </c>
      <c r="G122" s="19"/>
      <c r="H122" s="19"/>
      <c r="I122" s="19"/>
      <c r="J122" s="20"/>
      <c r="K122" s="20"/>
      <c r="L122" s="20"/>
      <c r="M122" s="20"/>
      <c r="N122" s="21"/>
      <c r="O122" s="1" t="b">
        <f t="shared" si="9"/>
        <v>0</v>
      </c>
      <c r="R122" s="1">
        <v>117</v>
      </c>
      <c r="S122" s="42">
        <v>1</v>
      </c>
      <c r="T122" s="42">
        <v>1</v>
      </c>
      <c r="U122" s="42">
        <v>6</v>
      </c>
      <c r="V122" s="42">
        <v>1</v>
      </c>
      <c r="W122" s="42">
        <v>2</v>
      </c>
      <c r="X122" s="22" t="s">
        <v>48</v>
      </c>
      <c r="Y122" s="23" t="s">
        <v>171</v>
      </c>
      <c r="Z122" s="23">
        <v>4</v>
      </c>
    </row>
    <row r="123" spans="1:26" s="1" customFormat="1" ht="15.75" x14ac:dyDescent="0.25">
      <c r="B123" t="s">
        <v>569</v>
      </c>
      <c r="C123" t="str">
        <f t="shared" si="6"/>
        <v>1.1.6.2.0</v>
      </c>
      <c r="D123" t="str">
        <f t="shared" si="7"/>
        <v>Keluar</v>
      </c>
      <c r="E123" t="str">
        <f t="shared" si="8"/>
        <v>......</v>
      </c>
      <c r="F123" s="1">
        <v>118</v>
      </c>
      <c r="G123" s="19"/>
      <c r="H123" s="19"/>
      <c r="I123" s="19"/>
      <c r="J123" s="20"/>
      <c r="K123" s="20"/>
      <c r="L123" s="20"/>
      <c r="M123" s="20"/>
      <c r="N123" s="21"/>
      <c r="O123" s="1" t="b">
        <f t="shared" si="9"/>
        <v>0</v>
      </c>
      <c r="R123" s="1">
        <v>118</v>
      </c>
      <c r="S123" s="42">
        <v>1</v>
      </c>
      <c r="T123" s="42">
        <v>1</v>
      </c>
      <c r="U123" s="42">
        <v>6</v>
      </c>
      <c r="V123" s="42">
        <v>2</v>
      </c>
      <c r="W123" s="42">
        <v>0</v>
      </c>
      <c r="X123" s="22" t="s">
        <v>179</v>
      </c>
      <c r="Y123" s="23" t="s">
        <v>171</v>
      </c>
      <c r="Z123" s="23">
        <v>5</v>
      </c>
    </row>
    <row r="124" spans="1:26" s="14" customFormat="1" ht="15.75" x14ac:dyDescent="0.25">
      <c r="A124" s="1"/>
      <c r="B124" t="s">
        <v>570</v>
      </c>
      <c r="C124" t="str">
        <f t="shared" si="6"/>
        <v>1.1.6.2.1</v>
      </c>
      <c r="D124" t="str">
        <f t="shared" si="7"/>
        <v>Keluar</v>
      </c>
      <c r="E124" t="str">
        <f t="shared" si="8"/>
        <v>......</v>
      </c>
      <c r="F124" s="1">
        <v>119</v>
      </c>
      <c r="G124" s="19"/>
      <c r="H124" s="19"/>
      <c r="I124" s="19"/>
      <c r="J124" s="20"/>
      <c r="K124" s="20"/>
      <c r="L124" s="20"/>
      <c r="M124" s="20"/>
      <c r="N124" s="21"/>
      <c r="O124" s="1" t="b">
        <f t="shared" si="9"/>
        <v>0</v>
      </c>
      <c r="P124" s="1"/>
      <c r="Q124" s="1"/>
      <c r="R124" s="1">
        <v>119</v>
      </c>
      <c r="S124" s="42">
        <v>1</v>
      </c>
      <c r="T124" s="42">
        <v>1</v>
      </c>
      <c r="U124" s="42">
        <v>6</v>
      </c>
      <c r="V124" s="42">
        <v>2</v>
      </c>
      <c r="W124" s="42">
        <v>1</v>
      </c>
      <c r="X124" s="22" t="s">
        <v>180</v>
      </c>
      <c r="Y124" s="23" t="s">
        <v>171</v>
      </c>
      <c r="Z124" s="23">
        <v>6</v>
      </c>
    </row>
    <row r="125" spans="1:26" s="14" customFormat="1" ht="15.75" x14ac:dyDescent="0.25">
      <c r="A125" s="1"/>
      <c r="B125" t="s">
        <v>571</v>
      </c>
      <c r="C125" t="str">
        <f t="shared" si="6"/>
        <v>1.1.6.2.2</v>
      </c>
      <c r="D125" t="str">
        <f t="shared" si="7"/>
        <v>Keluar</v>
      </c>
      <c r="E125" t="str">
        <f t="shared" si="8"/>
        <v>......</v>
      </c>
      <c r="F125" s="1">
        <v>120</v>
      </c>
      <c r="G125" s="19"/>
      <c r="H125" s="19"/>
      <c r="I125" s="19"/>
      <c r="J125" s="20"/>
      <c r="K125" s="20"/>
      <c r="L125" s="20"/>
      <c r="M125" s="20"/>
      <c r="N125" s="21"/>
      <c r="O125" s="1" t="b">
        <f t="shared" si="9"/>
        <v>0</v>
      </c>
      <c r="P125" s="1"/>
      <c r="Q125" s="1"/>
      <c r="R125" s="1">
        <v>120</v>
      </c>
      <c r="S125" s="42">
        <v>1</v>
      </c>
      <c r="T125" s="42">
        <v>1</v>
      </c>
      <c r="U125" s="42">
        <v>6</v>
      </c>
      <c r="V125" s="42">
        <v>2</v>
      </c>
      <c r="W125" s="42">
        <v>2</v>
      </c>
      <c r="X125" s="22" t="s">
        <v>48</v>
      </c>
      <c r="Y125" s="23" t="s">
        <v>171</v>
      </c>
      <c r="Z125" s="23">
        <v>7</v>
      </c>
    </row>
    <row r="126" spans="1:26" s="1" customFormat="1" ht="15.75" x14ac:dyDescent="0.25">
      <c r="B126" t="s">
        <v>572</v>
      </c>
      <c r="C126" t="str">
        <f t="shared" si="6"/>
        <v>1.1.7.2.2</v>
      </c>
      <c r="D126" t="str">
        <f t="shared" si="7"/>
        <v>Berubah</v>
      </c>
      <c r="E126" t="str">
        <f t="shared" si="8"/>
        <v>1.3.1.01.02.01.004</v>
      </c>
      <c r="F126" s="1">
        <v>121</v>
      </c>
      <c r="G126" s="19">
        <v>1</v>
      </c>
      <c r="H126" s="19">
        <v>3</v>
      </c>
      <c r="I126" s="19">
        <v>1</v>
      </c>
      <c r="J126" s="20" t="s">
        <v>13</v>
      </c>
      <c r="K126" s="20" t="s">
        <v>21</v>
      </c>
      <c r="L126" s="20" t="s">
        <v>13</v>
      </c>
      <c r="M126" s="20" t="s">
        <v>25</v>
      </c>
      <c r="N126" s="21" t="s">
        <v>181</v>
      </c>
      <c r="O126" s="1" t="b">
        <f t="shared" si="9"/>
        <v>0</v>
      </c>
      <c r="R126" s="1">
        <v>121</v>
      </c>
      <c r="S126" s="42">
        <v>1</v>
      </c>
      <c r="T126" s="42">
        <v>1</v>
      </c>
      <c r="U126" s="42">
        <v>7</v>
      </c>
      <c r="V126" s="42">
        <v>2</v>
      </c>
      <c r="W126" s="42">
        <v>2</v>
      </c>
      <c r="X126" s="22" t="s">
        <v>182</v>
      </c>
      <c r="Y126" s="23" t="s">
        <v>171</v>
      </c>
      <c r="Z126" s="23">
        <v>14</v>
      </c>
    </row>
    <row r="127" spans="1:26" s="14" customFormat="1" ht="15.75" x14ac:dyDescent="0.25">
      <c r="A127" s="1"/>
      <c r="B127" t="s">
        <v>573</v>
      </c>
      <c r="C127" t="str">
        <f t="shared" si="6"/>
        <v>1.1.7.2.3</v>
      </c>
      <c r="D127" t="str">
        <f t="shared" si="7"/>
        <v>Keluar</v>
      </c>
      <c r="E127" t="str">
        <f t="shared" si="8"/>
        <v>......</v>
      </c>
      <c r="F127" s="1">
        <v>122</v>
      </c>
      <c r="G127" s="19"/>
      <c r="H127" s="19"/>
      <c r="I127" s="19"/>
      <c r="J127" s="20"/>
      <c r="K127" s="20"/>
      <c r="L127" s="20"/>
      <c r="M127" s="20"/>
      <c r="N127" s="21"/>
      <c r="O127" s="1" t="b">
        <f t="shared" si="9"/>
        <v>0</v>
      </c>
      <c r="P127" s="1"/>
      <c r="Q127" s="1"/>
      <c r="R127" s="1">
        <v>122</v>
      </c>
      <c r="S127" s="42">
        <v>1</v>
      </c>
      <c r="T127" s="42">
        <v>1</v>
      </c>
      <c r="U127" s="42">
        <v>7</v>
      </c>
      <c r="V127" s="42">
        <v>2</v>
      </c>
      <c r="W127" s="42">
        <v>3</v>
      </c>
      <c r="X127" s="22" t="s">
        <v>48</v>
      </c>
      <c r="Y127" s="23" t="s">
        <v>171</v>
      </c>
      <c r="Z127" s="23">
        <v>15</v>
      </c>
    </row>
    <row r="128" spans="1:26" s="1" customFormat="1" x14ac:dyDescent="0.25">
      <c r="B128" t="s">
        <v>469</v>
      </c>
      <c r="C128" t="str">
        <f t="shared" si="6"/>
        <v>....</v>
      </c>
      <c r="D128" t="str">
        <f t="shared" si="7"/>
        <v>Bertambah</v>
      </c>
      <c r="E128" t="str">
        <f t="shared" si="8"/>
        <v>1.3.1.01.02.01.005</v>
      </c>
      <c r="F128" s="1">
        <v>123</v>
      </c>
      <c r="G128" s="19">
        <v>1</v>
      </c>
      <c r="H128" s="19">
        <v>3</v>
      </c>
      <c r="I128" s="19">
        <v>1</v>
      </c>
      <c r="J128" s="20" t="s">
        <v>13</v>
      </c>
      <c r="K128" s="20" t="s">
        <v>21</v>
      </c>
      <c r="L128" s="20" t="s">
        <v>13</v>
      </c>
      <c r="M128" s="20" t="s">
        <v>28</v>
      </c>
      <c r="N128" s="21" t="s">
        <v>183</v>
      </c>
      <c r="O128" s="1" t="b">
        <f t="shared" si="9"/>
        <v>0</v>
      </c>
      <c r="R128" s="1">
        <v>123</v>
      </c>
      <c r="S128" s="34"/>
      <c r="T128" s="34"/>
      <c r="U128" s="34"/>
      <c r="V128" s="34"/>
      <c r="W128" s="34"/>
      <c r="X128" s="34"/>
      <c r="Y128" s="34"/>
      <c r="Z128" s="34"/>
    </row>
    <row r="129" spans="1:26" s="1" customFormat="1" x14ac:dyDescent="0.25">
      <c r="B129" t="s">
        <v>469</v>
      </c>
      <c r="C129" t="str">
        <f t="shared" si="6"/>
        <v>....</v>
      </c>
      <c r="D129" t="str">
        <f t="shared" si="7"/>
        <v>Bertambah</v>
      </c>
      <c r="E129" t="str">
        <f t="shared" si="8"/>
        <v>1.3.1.01.02.01.006</v>
      </c>
      <c r="F129" s="1">
        <v>124</v>
      </c>
      <c r="G129" s="19">
        <v>1</v>
      </c>
      <c r="H129" s="19">
        <v>3</v>
      </c>
      <c r="I129" s="19">
        <v>1</v>
      </c>
      <c r="J129" s="20" t="s">
        <v>13</v>
      </c>
      <c r="K129" s="20" t="s">
        <v>21</v>
      </c>
      <c r="L129" s="20" t="s">
        <v>13</v>
      </c>
      <c r="M129" s="20" t="s">
        <v>31</v>
      </c>
      <c r="N129" s="21" t="s">
        <v>184</v>
      </c>
      <c r="O129" s="1" t="b">
        <f t="shared" si="9"/>
        <v>0</v>
      </c>
      <c r="R129" s="1">
        <v>124</v>
      </c>
      <c r="S129" s="34"/>
      <c r="T129" s="34"/>
      <c r="U129" s="34"/>
      <c r="V129" s="34"/>
      <c r="W129" s="34"/>
      <c r="X129" s="34"/>
      <c r="Y129" s="34"/>
      <c r="Z129" s="34"/>
    </row>
    <row r="130" spans="1:26" s="1" customFormat="1" x14ac:dyDescent="0.25">
      <c r="B130" t="s">
        <v>469</v>
      </c>
      <c r="C130" t="str">
        <f t="shared" si="6"/>
        <v>....</v>
      </c>
      <c r="D130" t="str">
        <f t="shared" si="7"/>
        <v>Bertambah</v>
      </c>
      <c r="E130" t="str">
        <f t="shared" si="8"/>
        <v>1.3.1.01.02.01.007</v>
      </c>
      <c r="F130" s="1">
        <v>125</v>
      </c>
      <c r="G130" s="19">
        <v>1</v>
      </c>
      <c r="H130" s="19">
        <v>3</v>
      </c>
      <c r="I130" s="19">
        <v>1</v>
      </c>
      <c r="J130" s="20" t="s">
        <v>13</v>
      </c>
      <c r="K130" s="20" t="s">
        <v>21</v>
      </c>
      <c r="L130" s="20" t="s">
        <v>13</v>
      </c>
      <c r="M130" s="20" t="s">
        <v>34</v>
      </c>
      <c r="N130" s="21" t="s">
        <v>185</v>
      </c>
      <c r="O130" s="1" t="b">
        <f t="shared" si="9"/>
        <v>0</v>
      </c>
      <c r="R130" s="1">
        <v>125</v>
      </c>
      <c r="S130" s="34"/>
      <c r="T130" s="34"/>
      <c r="U130" s="34"/>
      <c r="V130" s="34"/>
      <c r="W130" s="34"/>
      <c r="X130" s="34"/>
      <c r="Y130" s="34"/>
      <c r="Z130" s="34"/>
    </row>
    <row r="131" spans="1:26" s="1" customFormat="1" x14ac:dyDescent="0.25">
      <c r="B131" t="s">
        <v>469</v>
      </c>
      <c r="C131" t="str">
        <f t="shared" si="6"/>
        <v>....</v>
      </c>
      <c r="D131" t="str">
        <f t="shared" si="7"/>
        <v>Bertambah</v>
      </c>
      <c r="E131" t="str">
        <f t="shared" si="8"/>
        <v>1.3.1.01.02.01.008</v>
      </c>
      <c r="F131" s="1">
        <v>126</v>
      </c>
      <c r="G131" s="19">
        <v>1</v>
      </c>
      <c r="H131" s="19">
        <v>3</v>
      </c>
      <c r="I131" s="19">
        <v>1</v>
      </c>
      <c r="J131" s="20" t="s">
        <v>13</v>
      </c>
      <c r="K131" s="20" t="s">
        <v>21</v>
      </c>
      <c r="L131" s="20" t="s">
        <v>13</v>
      </c>
      <c r="M131" s="20" t="s">
        <v>37</v>
      </c>
      <c r="N131" s="21" t="s">
        <v>186</v>
      </c>
      <c r="O131" s="1" t="b">
        <f t="shared" si="9"/>
        <v>0</v>
      </c>
      <c r="R131" s="1">
        <v>126</v>
      </c>
      <c r="S131" s="34"/>
      <c r="T131" s="34"/>
      <c r="U131" s="34"/>
      <c r="V131" s="34"/>
      <c r="W131" s="34"/>
      <c r="X131" s="34"/>
      <c r="Y131" s="34"/>
      <c r="Z131" s="34"/>
    </row>
    <row r="132" spans="1:26" s="14" customFormat="1" x14ac:dyDescent="0.25">
      <c r="A132" s="1"/>
      <c r="B132" t="s">
        <v>469</v>
      </c>
      <c r="C132" t="str">
        <f t="shared" si="6"/>
        <v>....</v>
      </c>
      <c r="D132" t="str">
        <f t="shared" si="7"/>
        <v>Bertambah</v>
      </c>
      <c r="E132" t="str">
        <f t="shared" si="8"/>
        <v>1.3.1.01.02.01.009</v>
      </c>
      <c r="F132" s="1">
        <v>127</v>
      </c>
      <c r="G132" s="19">
        <v>1</v>
      </c>
      <c r="H132" s="19">
        <v>3</v>
      </c>
      <c r="I132" s="19">
        <v>1</v>
      </c>
      <c r="J132" s="20" t="s">
        <v>13</v>
      </c>
      <c r="K132" s="20" t="s">
        <v>21</v>
      </c>
      <c r="L132" s="20" t="s">
        <v>13</v>
      </c>
      <c r="M132" s="20" t="s">
        <v>40</v>
      </c>
      <c r="N132" s="21" t="s">
        <v>187</v>
      </c>
      <c r="O132" s="1" t="b">
        <f t="shared" si="9"/>
        <v>0</v>
      </c>
      <c r="P132" s="1"/>
      <c r="Q132" s="1"/>
      <c r="R132" s="1">
        <v>127</v>
      </c>
      <c r="S132" s="34"/>
      <c r="T132" s="34"/>
      <c r="U132" s="34"/>
      <c r="V132" s="34"/>
      <c r="W132" s="34"/>
      <c r="X132" s="34"/>
      <c r="Y132" s="34"/>
      <c r="Z132" s="34"/>
    </row>
    <row r="133" spans="1:26" s="1" customFormat="1" x14ac:dyDescent="0.25">
      <c r="B133" t="s">
        <v>469</v>
      </c>
      <c r="C133" t="str">
        <f t="shared" si="6"/>
        <v>....</v>
      </c>
      <c r="D133" t="str">
        <f t="shared" si="7"/>
        <v>Bertambah</v>
      </c>
      <c r="E133" t="str">
        <f t="shared" si="8"/>
        <v>1.3.1.01.02.01.010</v>
      </c>
      <c r="F133" s="1">
        <v>128</v>
      </c>
      <c r="G133" s="19">
        <v>1</v>
      </c>
      <c r="H133" s="19">
        <v>3</v>
      </c>
      <c r="I133" s="19">
        <v>1</v>
      </c>
      <c r="J133" s="20" t="s">
        <v>13</v>
      </c>
      <c r="K133" s="20" t="s">
        <v>21</v>
      </c>
      <c r="L133" s="20" t="s">
        <v>13</v>
      </c>
      <c r="M133" s="20" t="s">
        <v>43</v>
      </c>
      <c r="N133" s="21" t="s">
        <v>50</v>
      </c>
      <c r="O133" s="1" t="b">
        <f t="shared" si="9"/>
        <v>0</v>
      </c>
      <c r="R133" s="1">
        <v>128</v>
      </c>
      <c r="S133" s="34"/>
      <c r="T133" s="34"/>
      <c r="U133" s="34"/>
      <c r="V133" s="34"/>
      <c r="W133" s="34"/>
      <c r="X133" s="34"/>
      <c r="Y133" s="34"/>
      <c r="Z133" s="34"/>
    </row>
    <row r="134" spans="1:26" s="1" customFormat="1" x14ac:dyDescent="0.25">
      <c r="B134" t="s">
        <v>469</v>
      </c>
      <c r="C134" t="str">
        <f t="shared" si="6"/>
        <v>....</v>
      </c>
      <c r="D134" t="str">
        <f t="shared" si="7"/>
        <v>Bertambah</v>
      </c>
      <c r="E134" t="str">
        <f t="shared" si="8"/>
        <v>1.3.1.01.02.02.</v>
      </c>
      <c r="F134" s="1">
        <v>129</v>
      </c>
      <c r="G134" s="19">
        <v>1</v>
      </c>
      <c r="H134" s="19">
        <v>3</v>
      </c>
      <c r="I134" s="19">
        <v>1</v>
      </c>
      <c r="J134" s="20" t="s">
        <v>13</v>
      </c>
      <c r="K134" s="20" t="s">
        <v>21</v>
      </c>
      <c r="L134" s="20" t="s">
        <v>21</v>
      </c>
      <c r="M134" s="20"/>
      <c r="N134" s="21" t="s">
        <v>188</v>
      </c>
      <c r="O134" s="1" t="b">
        <f t="shared" si="9"/>
        <v>0</v>
      </c>
      <c r="R134" s="1">
        <v>129</v>
      </c>
      <c r="S134" s="34"/>
      <c r="T134" s="34"/>
      <c r="U134" s="34"/>
      <c r="V134" s="34"/>
      <c r="W134" s="34"/>
      <c r="X134" s="34"/>
      <c r="Y134" s="34"/>
      <c r="Z134" s="34"/>
    </row>
    <row r="135" spans="1:26" s="14" customFormat="1" x14ac:dyDescent="0.25">
      <c r="A135" s="1"/>
      <c r="B135" t="s">
        <v>469</v>
      </c>
      <c r="C135" t="str">
        <f t="shared" ref="C135:C198" si="10">S135&amp;"."&amp;T135&amp;"."&amp;U135&amp;"."&amp;V135&amp;"."&amp;W135</f>
        <v>....</v>
      </c>
      <c r="D135" t="str">
        <f t="shared" ref="D135:D198" si="11">IF(S135&lt;&gt;"",IF(G135="","Keluar","Berubah"),"Bertambah")</f>
        <v>Bertambah</v>
      </c>
      <c r="E135" t="str">
        <f t="shared" ref="E135:E198" si="12">G135&amp;"."&amp;H135&amp;"."&amp;I135&amp;"."&amp;J135&amp;"."&amp;K135&amp;"."&amp;L135&amp;"."&amp;M135</f>
        <v>1.3.1.01.02.02.001</v>
      </c>
      <c r="F135" s="1">
        <v>130</v>
      </c>
      <c r="G135" s="19">
        <v>1</v>
      </c>
      <c r="H135" s="19">
        <v>3</v>
      </c>
      <c r="I135" s="19">
        <v>1</v>
      </c>
      <c r="J135" s="20" t="s">
        <v>13</v>
      </c>
      <c r="K135" s="20" t="s">
        <v>21</v>
      </c>
      <c r="L135" s="20" t="s">
        <v>21</v>
      </c>
      <c r="M135" s="20" t="s">
        <v>17</v>
      </c>
      <c r="N135" s="21" t="s">
        <v>189</v>
      </c>
      <c r="O135" s="1" t="b">
        <f t="shared" si="9"/>
        <v>0</v>
      </c>
      <c r="P135" s="1"/>
      <c r="Q135" s="1"/>
      <c r="R135" s="1">
        <v>130</v>
      </c>
      <c r="S135" s="34"/>
      <c r="T135" s="34"/>
      <c r="U135" s="34"/>
      <c r="V135" s="34"/>
      <c r="W135" s="34"/>
      <c r="X135" s="34"/>
      <c r="Y135" s="34"/>
      <c r="Z135" s="34"/>
    </row>
    <row r="136" spans="1:26" s="14" customFormat="1" x14ac:dyDescent="0.25">
      <c r="A136" s="1"/>
      <c r="B136" t="s">
        <v>469</v>
      </c>
      <c r="C136" t="str">
        <f t="shared" si="10"/>
        <v>....</v>
      </c>
      <c r="D136" t="str">
        <f t="shared" si="11"/>
        <v>Bertambah</v>
      </c>
      <c r="E136" t="str">
        <f t="shared" si="12"/>
        <v>1.3.1.01.02.02.002</v>
      </c>
      <c r="F136" s="1">
        <v>131</v>
      </c>
      <c r="G136" s="19">
        <v>1</v>
      </c>
      <c r="H136" s="19">
        <v>3</v>
      </c>
      <c r="I136" s="19">
        <v>1</v>
      </c>
      <c r="J136" s="20" t="s">
        <v>13</v>
      </c>
      <c r="K136" s="20" t="s">
        <v>21</v>
      </c>
      <c r="L136" s="20" t="s">
        <v>21</v>
      </c>
      <c r="M136" s="20" t="s">
        <v>19</v>
      </c>
      <c r="N136" s="21" t="s">
        <v>190</v>
      </c>
      <c r="O136" s="1" t="b">
        <f t="shared" si="9"/>
        <v>0</v>
      </c>
      <c r="P136" s="1"/>
      <c r="Q136" s="1"/>
      <c r="R136" s="1">
        <v>131</v>
      </c>
      <c r="S136" s="34"/>
      <c r="T136" s="34"/>
      <c r="U136" s="34"/>
      <c r="V136" s="34"/>
      <c r="W136" s="34"/>
      <c r="X136" s="34"/>
      <c r="Y136" s="34"/>
      <c r="Z136" s="34"/>
    </row>
    <row r="137" spans="1:26" s="1" customFormat="1" x14ac:dyDescent="0.25">
      <c r="B137" t="s">
        <v>469</v>
      </c>
      <c r="C137" t="str">
        <f t="shared" si="10"/>
        <v>....</v>
      </c>
      <c r="D137" t="str">
        <f t="shared" si="11"/>
        <v>Bertambah</v>
      </c>
      <c r="E137" t="str">
        <f t="shared" si="12"/>
        <v>1.3.1.01.02.02.003</v>
      </c>
      <c r="F137" s="1">
        <v>132</v>
      </c>
      <c r="G137" s="19">
        <v>1</v>
      </c>
      <c r="H137" s="19">
        <v>3</v>
      </c>
      <c r="I137" s="19">
        <v>1</v>
      </c>
      <c r="J137" s="20" t="s">
        <v>13</v>
      </c>
      <c r="K137" s="20" t="s">
        <v>21</v>
      </c>
      <c r="L137" s="20" t="s">
        <v>21</v>
      </c>
      <c r="M137" s="20" t="s">
        <v>22</v>
      </c>
      <c r="N137" s="21" t="s">
        <v>191</v>
      </c>
      <c r="O137" s="1" t="b">
        <f t="shared" ref="O137:O200" si="13">N137=X137</f>
        <v>0</v>
      </c>
      <c r="R137" s="1">
        <v>132</v>
      </c>
      <c r="S137" s="34"/>
      <c r="T137" s="34"/>
      <c r="U137" s="34"/>
      <c r="V137" s="34"/>
      <c r="W137" s="34"/>
      <c r="X137" s="34"/>
      <c r="Y137" s="34"/>
      <c r="Z137" s="34"/>
    </row>
    <row r="138" spans="1:26" s="1" customFormat="1" x14ac:dyDescent="0.25">
      <c r="B138" t="s">
        <v>469</v>
      </c>
      <c r="C138" t="str">
        <f t="shared" si="10"/>
        <v>....</v>
      </c>
      <c r="D138" t="str">
        <f t="shared" si="11"/>
        <v>Bertambah</v>
      </c>
      <c r="E138" t="str">
        <f t="shared" si="12"/>
        <v>1.3.1.01.02.02.004</v>
      </c>
      <c r="F138" s="1">
        <v>133</v>
      </c>
      <c r="G138" s="19">
        <v>1</v>
      </c>
      <c r="H138" s="19">
        <v>3</v>
      </c>
      <c r="I138" s="19">
        <v>1</v>
      </c>
      <c r="J138" s="20" t="s">
        <v>13</v>
      </c>
      <c r="K138" s="20" t="s">
        <v>21</v>
      </c>
      <c r="L138" s="20" t="s">
        <v>21</v>
      </c>
      <c r="M138" s="20" t="s">
        <v>25</v>
      </c>
      <c r="N138" s="21" t="s">
        <v>50</v>
      </c>
      <c r="O138" s="1" t="b">
        <f t="shared" si="13"/>
        <v>0</v>
      </c>
      <c r="R138" s="1">
        <v>133</v>
      </c>
      <c r="S138" s="34"/>
      <c r="T138" s="34"/>
      <c r="U138" s="34"/>
      <c r="V138" s="34"/>
      <c r="W138" s="34"/>
      <c r="X138" s="34"/>
      <c r="Y138" s="34"/>
      <c r="Z138" s="34"/>
    </row>
    <row r="139" spans="1:26" s="14" customFormat="1" ht="15.75" x14ac:dyDescent="0.25">
      <c r="A139" s="1"/>
      <c r="B139" t="s">
        <v>574</v>
      </c>
      <c r="C139" t="str">
        <f t="shared" si="10"/>
        <v>1.1.3.0.0</v>
      </c>
      <c r="D139" t="str">
        <f t="shared" si="11"/>
        <v>Berubah</v>
      </c>
      <c r="E139" t="str">
        <f t="shared" si="12"/>
        <v>1.3.1.01.02.03.</v>
      </c>
      <c r="F139">
        <v>134</v>
      </c>
      <c r="G139" s="9">
        <v>1</v>
      </c>
      <c r="H139" s="9">
        <v>3</v>
      </c>
      <c r="I139" s="9">
        <v>1</v>
      </c>
      <c r="J139" s="10" t="s">
        <v>13</v>
      </c>
      <c r="K139" s="10" t="s">
        <v>21</v>
      </c>
      <c r="L139" s="10" t="s">
        <v>24</v>
      </c>
      <c r="M139" s="10"/>
      <c r="N139" s="18" t="s">
        <v>192</v>
      </c>
      <c r="O139" t="b">
        <f t="shared" si="13"/>
        <v>1</v>
      </c>
      <c r="P139"/>
      <c r="Q139"/>
      <c r="R139">
        <v>134</v>
      </c>
      <c r="S139" s="41">
        <v>1</v>
      </c>
      <c r="T139" s="41">
        <v>1</v>
      </c>
      <c r="U139" s="41">
        <v>3</v>
      </c>
      <c r="V139" s="41">
        <v>0</v>
      </c>
      <c r="W139" s="41">
        <v>0</v>
      </c>
      <c r="X139" s="16" t="s">
        <v>193</v>
      </c>
      <c r="Y139" s="17" t="s">
        <v>194</v>
      </c>
      <c r="Z139" s="17">
        <v>1</v>
      </c>
    </row>
    <row r="140" spans="1:26" s="14" customFormat="1" ht="15.75" x14ac:dyDescent="0.25">
      <c r="A140" s="1"/>
      <c r="B140" t="s">
        <v>575</v>
      </c>
      <c r="C140" t="str">
        <f t="shared" si="10"/>
        <v>1.1.3.1.0</v>
      </c>
      <c r="D140" t="str">
        <f t="shared" si="11"/>
        <v>Keluar</v>
      </c>
      <c r="E140" t="str">
        <f t="shared" si="12"/>
        <v>......</v>
      </c>
      <c r="F140" s="14">
        <v>135</v>
      </c>
      <c r="G140" s="24"/>
      <c r="H140" s="24"/>
      <c r="I140" s="24"/>
      <c r="J140" s="25"/>
      <c r="K140" s="25"/>
      <c r="L140" s="25"/>
      <c r="M140" s="25"/>
      <c r="N140" s="26"/>
      <c r="O140" s="14" t="b">
        <f t="shared" si="13"/>
        <v>0</v>
      </c>
      <c r="R140" s="14">
        <v>135</v>
      </c>
      <c r="S140" s="43">
        <v>1</v>
      </c>
      <c r="T140" s="43">
        <v>1</v>
      </c>
      <c r="U140" s="43">
        <v>3</v>
      </c>
      <c r="V140" s="43">
        <v>1</v>
      </c>
      <c r="W140" s="43">
        <v>0</v>
      </c>
      <c r="X140" s="27" t="s">
        <v>195</v>
      </c>
      <c r="Y140" s="29" t="s">
        <v>194</v>
      </c>
      <c r="Z140" s="29">
        <v>2</v>
      </c>
    </row>
    <row r="141" spans="1:26" s="14" customFormat="1" ht="15.75" x14ac:dyDescent="0.25">
      <c r="A141" s="1"/>
      <c r="B141" t="s">
        <v>576</v>
      </c>
      <c r="C141" t="str">
        <f t="shared" si="10"/>
        <v>1.1.3.1.1</v>
      </c>
      <c r="D141" t="str">
        <f t="shared" si="11"/>
        <v>Keluar</v>
      </c>
      <c r="E141" t="str">
        <f t="shared" si="12"/>
        <v>......</v>
      </c>
      <c r="F141" s="14">
        <v>136</v>
      </c>
      <c r="G141" s="24"/>
      <c r="H141" s="24"/>
      <c r="I141" s="24"/>
      <c r="J141" s="25"/>
      <c r="K141" s="25"/>
      <c r="L141" s="25"/>
      <c r="M141" s="25"/>
      <c r="N141" s="26"/>
      <c r="O141" s="14" t="b">
        <f t="shared" si="13"/>
        <v>0</v>
      </c>
      <c r="R141" s="14">
        <v>136</v>
      </c>
      <c r="S141" s="43">
        <v>1</v>
      </c>
      <c r="T141" s="43">
        <v>1</v>
      </c>
      <c r="U141" s="43">
        <v>3</v>
      </c>
      <c r="V141" s="43">
        <v>1</v>
      </c>
      <c r="W141" s="43">
        <v>1</v>
      </c>
      <c r="X141" s="27" t="s">
        <v>196</v>
      </c>
      <c r="Y141" s="29" t="s">
        <v>194</v>
      </c>
      <c r="Z141" s="29">
        <v>3</v>
      </c>
    </row>
    <row r="142" spans="1:26" s="14" customFormat="1" ht="15.75" x14ac:dyDescent="0.25">
      <c r="A142" s="1"/>
      <c r="B142" t="s">
        <v>577</v>
      </c>
      <c r="C142" t="str">
        <f t="shared" si="10"/>
        <v>1.1.3.1.2</v>
      </c>
      <c r="D142" t="str">
        <f t="shared" si="11"/>
        <v>Keluar</v>
      </c>
      <c r="E142" t="str">
        <f t="shared" si="12"/>
        <v>......</v>
      </c>
      <c r="F142" s="14">
        <v>137</v>
      </c>
      <c r="G142" s="24"/>
      <c r="H142" s="24"/>
      <c r="I142" s="24"/>
      <c r="J142" s="25"/>
      <c r="K142" s="25"/>
      <c r="L142" s="25"/>
      <c r="M142" s="25"/>
      <c r="N142" s="26"/>
      <c r="O142" s="14" t="b">
        <f t="shared" si="13"/>
        <v>0</v>
      </c>
      <c r="R142" s="14">
        <v>137</v>
      </c>
      <c r="S142" s="43">
        <v>1</v>
      </c>
      <c r="T142" s="43">
        <v>1</v>
      </c>
      <c r="U142" s="43">
        <v>3</v>
      </c>
      <c r="V142" s="43">
        <v>1</v>
      </c>
      <c r="W142" s="43">
        <v>2</v>
      </c>
      <c r="X142" s="27" t="s">
        <v>197</v>
      </c>
      <c r="Y142" s="29" t="s">
        <v>194</v>
      </c>
      <c r="Z142" s="29">
        <v>4</v>
      </c>
    </row>
    <row r="143" spans="1:26" s="14" customFormat="1" ht="15.75" x14ac:dyDescent="0.25">
      <c r="A143" s="1"/>
      <c r="B143" t="s">
        <v>578</v>
      </c>
      <c r="C143" t="str">
        <f t="shared" si="10"/>
        <v>1.1.3.1.3</v>
      </c>
      <c r="D143" t="str">
        <f t="shared" si="11"/>
        <v>Keluar</v>
      </c>
      <c r="E143" t="str">
        <f t="shared" si="12"/>
        <v>......</v>
      </c>
      <c r="F143" s="14">
        <v>138</v>
      </c>
      <c r="G143" s="24"/>
      <c r="H143" s="24"/>
      <c r="I143" s="24"/>
      <c r="J143" s="25"/>
      <c r="K143" s="25"/>
      <c r="L143" s="25"/>
      <c r="M143" s="25"/>
      <c r="N143" s="26"/>
      <c r="O143" s="14" t="b">
        <f t="shared" si="13"/>
        <v>0</v>
      </c>
      <c r="R143" s="14">
        <v>138</v>
      </c>
      <c r="S143" s="43">
        <v>1</v>
      </c>
      <c r="T143" s="43">
        <v>1</v>
      </c>
      <c r="U143" s="43">
        <v>3</v>
      </c>
      <c r="V143" s="43">
        <v>1</v>
      </c>
      <c r="W143" s="43">
        <v>3</v>
      </c>
      <c r="X143" s="27" t="s">
        <v>198</v>
      </c>
      <c r="Y143" s="29" t="s">
        <v>194</v>
      </c>
      <c r="Z143" s="29">
        <v>5</v>
      </c>
    </row>
    <row r="144" spans="1:26" s="14" customFormat="1" ht="15.75" x14ac:dyDescent="0.25">
      <c r="A144" s="1"/>
      <c r="B144" t="s">
        <v>579</v>
      </c>
      <c r="C144" t="str">
        <f t="shared" si="10"/>
        <v>1.1.3.1.4</v>
      </c>
      <c r="D144" t="str">
        <f t="shared" si="11"/>
        <v>Keluar</v>
      </c>
      <c r="E144" t="str">
        <f t="shared" si="12"/>
        <v>......</v>
      </c>
      <c r="F144" s="14">
        <v>139</v>
      </c>
      <c r="G144" s="24"/>
      <c r="H144" s="24"/>
      <c r="I144" s="24"/>
      <c r="J144" s="25"/>
      <c r="K144" s="25"/>
      <c r="L144" s="25"/>
      <c r="M144" s="25"/>
      <c r="N144" s="26"/>
      <c r="O144" s="14" t="b">
        <f t="shared" si="13"/>
        <v>0</v>
      </c>
      <c r="R144" s="14">
        <v>139</v>
      </c>
      <c r="S144" s="43">
        <v>1</v>
      </c>
      <c r="T144" s="43">
        <v>1</v>
      </c>
      <c r="U144" s="43">
        <v>3</v>
      </c>
      <c r="V144" s="43">
        <v>1</v>
      </c>
      <c r="W144" s="43">
        <v>4</v>
      </c>
      <c r="X144" s="27" t="s">
        <v>199</v>
      </c>
      <c r="Y144" s="29" t="s">
        <v>194</v>
      </c>
      <c r="Z144" s="29">
        <v>6</v>
      </c>
    </row>
    <row r="145" spans="1:26" s="14" customFormat="1" ht="15.75" x14ac:dyDescent="0.25">
      <c r="A145" s="1"/>
      <c r="B145" t="s">
        <v>580</v>
      </c>
      <c r="C145" t="str">
        <f t="shared" si="10"/>
        <v>1.1.3.1.5</v>
      </c>
      <c r="D145" t="str">
        <f t="shared" si="11"/>
        <v>Keluar</v>
      </c>
      <c r="E145" t="str">
        <f t="shared" si="12"/>
        <v>......</v>
      </c>
      <c r="F145" s="14">
        <v>140</v>
      </c>
      <c r="G145" s="24"/>
      <c r="H145" s="24"/>
      <c r="I145" s="24"/>
      <c r="J145" s="25"/>
      <c r="K145" s="25"/>
      <c r="L145" s="25"/>
      <c r="M145" s="25"/>
      <c r="N145" s="26"/>
      <c r="O145" s="14" t="b">
        <f t="shared" si="13"/>
        <v>0</v>
      </c>
      <c r="R145" s="14">
        <v>140</v>
      </c>
      <c r="S145" s="43">
        <v>1</v>
      </c>
      <c r="T145" s="43">
        <v>1</v>
      </c>
      <c r="U145" s="43">
        <v>3</v>
      </c>
      <c r="V145" s="43">
        <v>1</v>
      </c>
      <c r="W145" s="43">
        <v>5</v>
      </c>
      <c r="X145" s="27" t="s">
        <v>200</v>
      </c>
      <c r="Y145" s="29" t="s">
        <v>194</v>
      </c>
      <c r="Z145" s="29">
        <v>7</v>
      </c>
    </row>
    <row r="146" spans="1:26" s="14" customFormat="1" ht="15.75" x14ac:dyDescent="0.25">
      <c r="A146" s="1"/>
      <c r="B146" t="s">
        <v>581</v>
      </c>
      <c r="C146" t="str">
        <f t="shared" si="10"/>
        <v>1.1.3.1.6</v>
      </c>
      <c r="D146" t="str">
        <f t="shared" si="11"/>
        <v>Keluar</v>
      </c>
      <c r="E146" t="str">
        <f t="shared" si="12"/>
        <v>......</v>
      </c>
      <c r="F146" s="14">
        <v>141</v>
      </c>
      <c r="G146" s="24"/>
      <c r="H146" s="24"/>
      <c r="I146" s="24"/>
      <c r="J146" s="25"/>
      <c r="K146" s="25"/>
      <c r="L146" s="25"/>
      <c r="M146" s="25"/>
      <c r="N146" s="26"/>
      <c r="O146" s="14" t="b">
        <f t="shared" si="13"/>
        <v>0</v>
      </c>
      <c r="R146" s="14">
        <v>141</v>
      </c>
      <c r="S146" s="43">
        <v>1</v>
      </c>
      <c r="T146" s="43">
        <v>1</v>
      </c>
      <c r="U146" s="43">
        <v>3</v>
      </c>
      <c r="V146" s="43">
        <v>1</v>
      </c>
      <c r="W146" s="43">
        <v>6</v>
      </c>
      <c r="X146" s="35" t="s">
        <v>201</v>
      </c>
      <c r="Y146" s="29" t="s">
        <v>194</v>
      </c>
      <c r="Z146" s="29">
        <v>8</v>
      </c>
    </row>
    <row r="147" spans="1:26" s="14" customFormat="1" ht="15.75" x14ac:dyDescent="0.25">
      <c r="A147" s="1"/>
      <c r="B147" t="s">
        <v>582</v>
      </c>
      <c r="C147" t="str">
        <f t="shared" si="10"/>
        <v>1.1.3.1.7</v>
      </c>
      <c r="D147" t="str">
        <f t="shared" si="11"/>
        <v>Keluar</v>
      </c>
      <c r="E147" t="str">
        <f t="shared" si="12"/>
        <v>......</v>
      </c>
      <c r="F147" s="14">
        <v>142</v>
      </c>
      <c r="G147" s="24"/>
      <c r="H147" s="24"/>
      <c r="I147" s="24"/>
      <c r="J147" s="25"/>
      <c r="K147" s="25"/>
      <c r="L147" s="25"/>
      <c r="M147" s="25"/>
      <c r="N147" s="26"/>
      <c r="O147" s="14" t="b">
        <f t="shared" si="13"/>
        <v>0</v>
      </c>
      <c r="R147" s="14">
        <v>142</v>
      </c>
      <c r="S147" s="43">
        <v>1</v>
      </c>
      <c r="T147" s="43">
        <v>1</v>
      </c>
      <c r="U147" s="43">
        <v>3</v>
      </c>
      <c r="V147" s="43">
        <v>1</v>
      </c>
      <c r="W147" s="43">
        <v>7</v>
      </c>
      <c r="X147" s="27" t="s">
        <v>202</v>
      </c>
      <c r="Y147" s="29" t="s">
        <v>194</v>
      </c>
      <c r="Z147" s="29">
        <v>9</v>
      </c>
    </row>
    <row r="148" spans="1:26" s="14" customFormat="1" ht="15.75" x14ac:dyDescent="0.25">
      <c r="A148" s="1"/>
      <c r="B148" t="s">
        <v>583</v>
      </c>
      <c r="C148" t="str">
        <f t="shared" si="10"/>
        <v>1.1.3.1.8</v>
      </c>
      <c r="D148" t="str">
        <f t="shared" si="11"/>
        <v>Keluar</v>
      </c>
      <c r="E148" t="str">
        <f t="shared" si="12"/>
        <v>......</v>
      </c>
      <c r="F148" s="14">
        <v>143</v>
      </c>
      <c r="G148" s="24"/>
      <c r="H148" s="24"/>
      <c r="I148" s="24"/>
      <c r="J148" s="25"/>
      <c r="K148" s="25"/>
      <c r="L148" s="25"/>
      <c r="M148" s="25"/>
      <c r="N148" s="26"/>
      <c r="O148" s="14" t="b">
        <f t="shared" si="13"/>
        <v>0</v>
      </c>
      <c r="R148" s="14">
        <v>143</v>
      </c>
      <c r="S148" s="43">
        <v>1</v>
      </c>
      <c r="T148" s="43">
        <v>1</v>
      </c>
      <c r="U148" s="43">
        <v>3</v>
      </c>
      <c r="V148" s="43">
        <v>1</v>
      </c>
      <c r="W148" s="43">
        <v>8</v>
      </c>
      <c r="X148" s="27" t="s">
        <v>203</v>
      </c>
      <c r="Y148" s="29" t="s">
        <v>194</v>
      </c>
      <c r="Z148" s="29">
        <v>10</v>
      </c>
    </row>
    <row r="149" spans="1:26" s="14" customFormat="1" ht="15.75" x14ac:dyDescent="0.25">
      <c r="A149" s="1"/>
      <c r="B149" t="s">
        <v>584</v>
      </c>
      <c r="C149" t="str">
        <f t="shared" si="10"/>
        <v>1.1.3.1.9</v>
      </c>
      <c r="D149" t="str">
        <f t="shared" si="11"/>
        <v>Keluar</v>
      </c>
      <c r="E149" t="str">
        <f t="shared" si="12"/>
        <v>......</v>
      </c>
      <c r="F149" s="14">
        <v>144</v>
      </c>
      <c r="G149" s="24"/>
      <c r="H149" s="24"/>
      <c r="I149" s="24"/>
      <c r="J149" s="25"/>
      <c r="K149" s="25"/>
      <c r="L149" s="25"/>
      <c r="M149" s="25"/>
      <c r="N149" s="26"/>
      <c r="O149" s="14" t="b">
        <f t="shared" si="13"/>
        <v>0</v>
      </c>
      <c r="R149" s="14">
        <v>144</v>
      </c>
      <c r="S149" s="43">
        <v>1</v>
      </c>
      <c r="T149" s="43">
        <v>1</v>
      </c>
      <c r="U149" s="43">
        <v>3</v>
      </c>
      <c r="V149" s="43">
        <v>1</v>
      </c>
      <c r="W149" s="43">
        <v>9</v>
      </c>
      <c r="X149" s="27" t="s">
        <v>204</v>
      </c>
      <c r="Y149" s="29" t="s">
        <v>194</v>
      </c>
      <c r="Z149" s="29">
        <v>11</v>
      </c>
    </row>
    <row r="150" spans="1:26" s="14" customFormat="1" ht="15.75" x14ac:dyDescent="0.25">
      <c r="A150" s="1"/>
      <c r="B150" t="s">
        <v>585</v>
      </c>
      <c r="C150" t="str">
        <f t="shared" si="10"/>
        <v>1.1.3.1.10</v>
      </c>
      <c r="D150" t="str">
        <f t="shared" si="11"/>
        <v>Keluar</v>
      </c>
      <c r="E150" t="str">
        <f t="shared" si="12"/>
        <v>......</v>
      </c>
      <c r="F150" s="14">
        <v>145</v>
      </c>
      <c r="G150" s="24"/>
      <c r="H150" s="24"/>
      <c r="I150" s="24"/>
      <c r="J150" s="25"/>
      <c r="K150" s="25"/>
      <c r="L150" s="25"/>
      <c r="M150" s="25"/>
      <c r="N150" s="26"/>
      <c r="O150" s="14" t="b">
        <f t="shared" si="13"/>
        <v>0</v>
      </c>
      <c r="R150" s="14">
        <v>145</v>
      </c>
      <c r="S150" s="43">
        <v>1</v>
      </c>
      <c r="T150" s="43">
        <v>1</v>
      </c>
      <c r="U150" s="43">
        <v>3</v>
      </c>
      <c r="V150" s="43">
        <v>1</v>
      </c>
      <c r="W150" s="43">
        <v>10</v>
      </c>
      <c r="X150" s="27" t="s">
        <v>205</v>
      </c>
      <c r="Y150" s="29" t="s">
        <v>194</v>
      </c>
      <c r="Z150" s="29">
        <v>12</v>
      </c>
    </row>
    <row r="151" spans="1:26" s="14" customFormat="1" ht="15.75" x14ac:dyDescent="0.25">
      <c r="A151" s="1"/>
      <c r="B151" t="s">
        <v>586</v>
      </c>
      <c r="C151" t="str">
        <f t="shared" si="10"/>
        <v>1.1.3.1.11</v>
      </c>
      <c r="D151" t="str">
        <f t="shared" si="11"/>
        <v>Keluar</v>
      </c>
      <c r="E151" t="str">
        <f t="shared" si="12"/>
        <v>......</v>
      </c>
      <c r="F151" s="14">
        <v>146</v>
      </c>
      <c r="G151" s="24"/>
      <c r="H151" s="24"/>
      <c r="I151" s="24"/>
      <c r="J151" s="25"/>
      <c r="K151" s="25"/>
      <c r="L151" s="25"/>
      <c r="M151" s="25"/>
      <c r="N151" s="26"/>
      <c r="O151" s="14" t="b">
        <f t="shared" si="13"/>
        <v>0</v>
      </c>
      <c r="R151" s="14">
        <v>146</v>
      </c>
      <c r="S151" s="43">
        <v>1</v>
      </c>
      <c r="T151" s="43">
        <v>1</v>
      </c>
      <c r="U151" s="43">
        <v>3</v>
      </c>
      <c r="V151" s="43">
        <v>1</v>
      </c>
      <c r="W151" s="43">
        <v>11</v>
      </c>
      <c r="X151" s="27" t="s">
        <v>206</v>
      </c>
      <c r="Y151" s="29" t="s">
        <v>194</v>
      </c>
      <c r="Z151" s="29">
        <v>13</v>
      </c>
    </row>
    <row r="152" spans="1:26" s="14" customFormat="1" ht="15.75" x14ac:dyDescent="0.25">
      <c r="A152" s="1"/>
      <c r="B152" t="s">
        <v>587</v>
      </c>
      <c r="C152" t="str">
        <f t="shared" si="10"/>
        <v>1.1.3.1.12</v>
      </c>
      <c r="D152" t="str">
        <f t="shared" si="11"/>
        <v>Keluar</v>
      </c>
      <c r="E152" t="str">
        <f t="shared" si="12"/>
        <v>......</v>
      </c>
      <c r="F152" s="14">
        <v>147</v>
      </c>
      <c r="G152" s="24"/>
      <c r="H152" s="24"/>
      <c r="I152" s="24"/>
      <c r="J152" s="25"/>
      <c r="K152" s="25"/>
      <c r="L152" s="25"/>
      <c r="M152" s="25"/>
      <c r="N152" s="26"/>
      <c r="O152" s="14" t="b">
        <f t="shared" si="13"/>
        <v>0</v>
      </c>
      <c r="R152" s="14">
        <v>147</v>
      </c>
      <c r="S152" s="43">
        <v>1</v>
      </c>
      <c r="T152" s="43">
        <v>1</v>
      </c>
      <c r="U152" s="43">
        <v>3</v>
      </c>
      <c r="V152" s="43">
        <v>1</v>
      </c>
      <c r="W152" s="43">
        <v>12</v>
      </c>
      <c r="X152" s="27" t="s">
        <v>207</v>
      </c>
      <c r="Y152" s="29" t="s">
        <v>194</v>
      </c>
      <c r="Z152" s="29">
        <v>14</v>
      </c>
    </row>
    <row r="153" spans="1:26" s="14" customFormat="1" ht="15.75" x14ac:dyDescent="0.25">
      <c r="A153" s="1"/>
      <c r="B153" t="s">
        <v>588</v>
      </c>
      <c r="C153" t="str">
        <f t="shared" si="10"/>
        <v>1.1.3.1.13</v>
      </c>
      <c r="D153" t="str">
        <f t="shared" si="11"/>
        <v>Keluar</v>
      </c>
      <c r="E153" t="str">
        <f t="shared" si="12"/>
        <v>......</v>
      </c>
      <c r="F153" s="14">
        <v>148</v>
      </c>
      <c r="G153" s="24"/>
      <c r="H153" s="24"/>
      <c r="I153" s="24"/>
      <c r="J153" s="25"/>
      <c r="K153" s="25"/>
      <c r="L153" s="25"/>
      <c r="M153" s="25"/>
      <c r="N153" s="26"/>
      <c r="O153" s="14" t="b">
        <f t="shared" si="13"/>
        <v>0</v>
      </c>
      <c r="R153" s="14">
        <v>148</v>
      </c>
      <c r="S153" s="43">
        <v>1</v>
      </c>
      <c r="T153" s="43">
        <v>1</v>
      </c>
      <c r="U153" s="43">
        <v>3</v>
      </c>
      <c r="V153" s="43">
        <v>1</v>
      </c>
      <c r="W153" s="43">
        <v>13</v>
      </c>
      <c r="X153" s="27" t="s">
        <v>208</v>
      </c>
      <c r="Y153" s="29" t="s">
        <v>194</v>
      </c>
      <c r="Z153" s="29">
        <v>15</v>
      </c>
    </row>
    <row r="154" spans="1:26" s="14" customFormat="1" ht="15.75" x14ac:dyDescent="0.25">
      <c r="A154" s="1"/>
      <c r="B154" t="s">
        <v>589</v>
      </c>
      <c r="C154" t="str">
        <f t="shared" si="10"/>
        <v>1.1.3.1.14</v>
      </c>
      <c r="D154" t="str">
        <f t="shared" si="11"/>
        <v>Keluar</v>
      </c>
      <c r="E154" t="str">
        <f t="shared" si="12"/>
        <v>......</v>
      </c>
      <c r="F154" s="14">
        <v>149</v>
      </c>
      <c r="G154" s="24"/>
      <c r="H154" s="24"/>
      <c r="I154" s="24"/>
      <c r="J154" s="25"/>
      <c r="K154" s="25"/>
      <c r="L154" s="25"/>
      <c r="M154" s="25"/>
      <c r="N154" s="26"/>
      <c r="O154" s="14" t="b">
        <f t="shared" si="13"/>
        <v>0</v>
      </c>
      <c r="R154" s="14">
        <v>149</v>
      </c>
      <c r="S154" s="43">
        <v>1</v>
      </c>
      <c r="T154" s="43">
        <v>1</v>
      </c>
      <c r="U154" s="43">
        <v>3</v>
      </c>
      <c r="V154" s="43">
        <v>1</v>
      </c>
      <c r="W154" s="43">
        <v>14</v>
      </c>
      <c r="X154" s="27" t="s">
        <v>209</v>
      </c>
      <c r="Y154" s="29" t="s">
        <v>194</v>
      </c>
      <c r="Z154" s="29">
        <v>16</v>
      </c>
    </row>
    <row r="155" spans="1:26" s="14" customFormat="1" ht="15.75" x14ac:dyDescent="0.25">
      <c r="A155" s="1"/>
      <c r="B155" t="s">
        <v>590</v>
      </c>
      <c r="C155" t="str">
        <f t="shared" si="10"/>
        <v>1.1.3.1.15</v>
      </c>
      <c r="D155" t="str">
        <f t="shared" si="11"/>
        <v>Keluar</v>
      </c>
      <c r="E155" t="str">
        <f t="shared" si="12"/>
        <v>......</v>
      </c>
      <c r="F155" s="14">
        <v>150</v>
      </c>
      <c r="G155" s="24"/>
      <c r="H155" s="24"/>
      <c r="I155" s="24"/>
      <c r="J155" s="25"/>
      <c r="K155" s="25"/>
      <c r="L155" s="25"/>
      <c r="M155" s="25"/>
      <c r="N155" s="26"/>
      <c r="O155" s="14" t="b">
        <f t="shared" si="13"/>
        <v>0</v>
      </c>
      <c r="R155" s="14">
        <v>150</v>
      </c>
      <c r="S155" s="43">
        <v>1</v>
      </c>
      <c r="T155" s="43">
        <v>1</v>
      </c>
      <c r="U155" s="43">
        <v>3</v>
      </c>
      <c r="V155" s="43">
        <v>1</v>
      </c>
      <c r="W155" s="43">
        <v>15</v>
      </c>
      <c r="X155" s="27" t="s">
        <v>210</v>
      </c>
      <c r="Y155" s="29" t="s">
        <v>194</v>
      </c>
      <c r="Z155" s="29">
        <v>17</v>
      </c>
    </row>
    <row r="156" spans="1:26" s="14" customFormat="1" ht="15.75" x14ac:dyDescent="0.25">
      <c r="A156" s="1"/>
      <c r="B156" t="s">
        <v>591</v>
      </c>
      <c r="C156" t="str">
        <f t="shared" si="10"/>
        <v>1.1.3.1.16</v>
      </c>
      <c r="D156" t="str">
        <f t="shared" si="11"/>
        <v>Keluar</v>
      </c>
      <c r="E156" t="str">
        <f t="shared" si="12"/>
        <v>......</v>
      </c>
      <c r="F156" s="14">
        <v>151</v>
      </c>
      <c r="G156" s="24"/>
      <c r="H156" s="24"/>
      <c r="I156" s="24"/>
      <c r="J156" s="25"/>
      <c r="K156" s="25"/>
      <c r="L156" s="25"/>
      <c r="M156" s="25"/>
      <c r="N156" s="26"/>
      <c r="O156" s="14" t="b">
        <f t="shared" si="13"/>
        <v>0</v>
      </c>
      <c r="R156" s="14">
        <v>151</v>
      </c>
      <c r="S156" s="43">
        <v>1</v>
      </c>
      <c r="T156" s="43">
        <v>1</v>
      </c>
      <c r="U156" s="43">
        <v>3</v>
      </c>
      <c r="V156" s="43">
        <v>1</v>
      </c>
      <c r="W156" s="43">
        <v>16</v>
      </c>
      <c r="X156" s="27" t="s">
        <v>211</v>
      </c>
      <c r="Y156" s="29" t="s">
        <v>194</v>
      </c>
      <c r="Z156" s="29">
        <v>18</v>
      </c>
    </row>
    <row r="157" spans="1:26" s="14" customFormat="1" ht="15.75" x14ac:dyDescent="0.25">
      <c r="A157" s="1"/>
      <c r="B157" t="s">
        <v>592</v>
      </c>
      <c r="C157" t="str">
        <f t="shared" si="10"/>
        <v>1.1.3.1.17</v>
      </c>
      <c r="D157" t="str">
        <f t="shared" si="11"/>
        <v>Keluar</v>
      </c>
      <c r="E157" t="str">
        <f t="shared" si="12"/>
        <v>......</v>
      </c>
      <c r="F157" s="14">
        <v>152</v>
      </c>
      <c r="G157" s="24"/>
      <c r="H157" s="24"/>
      <c r="I157" s="24"/>
      <c r="J157" s="25"/>
      <c r="K157" s="25"/>
      <c r="L157" s="25"/>
      <c r="M157" s="25"/>
      <c r="N157" s="26"/>
      <c r="O157" s="14" t="b">
        <f t="shared" si="13"/>
        <v>0</v>
      </c>
      <c r="R157" s="14">
        <v>152</v>
      </c>
      <c r="S157" s="43">
        <v>1</v>
      </c>
      <c r="T157" s="43">
        <v>1</v>
      </c>
      <c r="U157" s="43">
        <v>3</v>
      </c>
      <c r="V157" s="43">
        <v>1</v>
      </c>
      <c r="W157" s="43">
        <v>17</v>
      </c>
      <c r="X157" s="27" t="s">
        <v>212</v>
      </c>
      <c r="Y157" s="29" t="s">
        <v>194</v>
      </c>
      <c r="Z157" s="29">
        <v>19</v>
      </c>
    </row>
    <row r="158" spans="1:26" s="14" customFormat="1" ht="15.75" x14ac:dyDescent="0.25">
      <c r="A158" s="1"/>
      <c r="B158" t="s">
        <v>593</v>
      </c>
      <c r="C158" t="str">
        <f t="shared" si="10"/>
        <v>1.1.3.1.18</v>
      </c>
      <c r="D158" t="str">
        <f t="shared" si="11"/>
        <v>Keluar</v>
      </c>
      <c r="E158" t="str">
        <f t="shared" si="12"/>
        <v>......</v>
      </c>
      <c r="F158" s="14">
        <v>153</v>
      </c>
      <c r="G158" s="24"/>
      <c r="H158" s="24"/>
      <c r="I158" s="24"/>
      <c r="J158" s="25"/>
      <c r="K158" s="25"/>
      <c r="L158" s="25"/>
      <c r="M158" s="25"/>
      <c r="N158" s="26"/>
      <c r="O158" s="14" t="b">
        <f t="shared" si="13"/>
        <v>0</v>
      </c>
      <c r="R158" s="14">
        <v>153</v>
      </c>
      <c r="S158" s="43">
        <v>1</v>
      </c>
      <c r="T158" s="43">
        <v>1</v>
      </c>
      <c r="U158" s="43">
        <v>3</v>
      </c>
      <c r="V158" s="43">
        <v>1</v>
      </c>
      <c r="W158" s="43">
        <v>18</v>
      </c>
      <c r="X158" s="27" t="s">
        <v>213</v>
      </c>
      <c r="Y158" s="29" t="s">
        <v>194</v>
      </c>
      <c r="Z158" s="29">
        <v>20</v>
      </c>
    </row>
    <row r="159" spans="1:26" s="14" customFormat="1" x14ac:dyDescent="0.25">
      <c r="A159" s="1"/>
      <c r="B159" t="s">
        <v>469</v>
      </c>
      <c r="C159" t="str">
        <f t="shared" si="10"/>
        <v>....</v>
      </c>
      <c r="D159" t="str">
        <f t="shared" si="11"/>
        <v>Bertambah</v>
      </c>
      <c r="E159" t="str">
        <f t="shared" si="12"/>
        <v>1.3.1.01.02.03.001</v>
      </c>
      <c r="F159" s="14">
        <v>154</v>
      </c>
      <c r="G159" s="24">
        <v>1</v>
      </c>
      <c r="H159" s="24">
        <v>3</v>
      </c>
      <c r="I159" s="24">
        <v>1</v>
      </c>
      <c r="J159" s="25" t="s">
        <v>13</v>
      </c>
      <c r="K159" s="25" t="s">
        <v>21</v>
      </c>
      <c r="L159" s="25" t="s">
        <v>24</v>
      </c>
      <c r="M159" s="25" t="s">
        <v>17</v>
      </c>
      <c r="N159" s="26" t="s">
        <v>214</v>
      </c>
      <c r="O159" s="14" t="b">
        <f t="shared" si="13"/>
        <v>0</v>
      </c>
      <c r="R159" s="14">
        <v>154</v>
      </c>
      <c r="S159" s="28"/>
      <c r="T159" s="28"/>
      <c r="U159" s="28"/>
      <c r="V159" s="28"/>
      <c r="W159" s="28"/>
      <c r="X159" s="28"/>
      <c r="Y159" s="28"/>
      <c r="Z159" s="28"/>
    </row>
    <row r="160" spans="1:26" s="14" customFormat="1" x14ac:dyDescent="0.25">
      <c r="A160" s="1"/>
      <c r="B160" t="s">
        <v>469</v>
      </c>
      <c r="C160" t="str">
        <f t="shared" si="10"/>
        <v>....</v>
      </c>
      <c r="D160" t="str">
        <f t="shared" si="11"/>
        <v>Bertambah</v>
      </c>
      <c r="E160" t="str">
        <f t="shared" si="12"/>
        <v>1.3.1.01.02.03.002</v>
      </c>
      <c r="F160" s="14">
        <v>155</v>
      </c>
      <c r="G160" s="24">
        <v>1</v>
      </c>
      <c r="H160" s="24">
        <v>3</v>
      </c>
      <c r="I160" s="24">
        <v>1</v>
      </c>
      <c r="J160" s="25" t="s">
        <v>13</v>
      </c>
      <c r="K160" s="25" t="s">
        <v>21</v>
      </c>
      <c r="L160" s="25" t="s">
        <v>24</v>
      </c>
      <c r="M160" s="25" t="s">
        <v>19</v>
      </c>
      <c r="N160" s="26" t="s">
        <v>215</v>
      </c>
      <c r="O160" s="14" t="b">
        <f t="shared" si="13"/>
        <v>0</v>
      </c>
      <c r="R160" s="14">
        <v>155</v>
      </c>
      <c r="S160" s="28"/>
      <c r="T160" s="28"/>
      <c r="U160" s="28"/>
      <c r="V160" s="28"/>
      <c r="W160" s="28"/>
      <c r="X160" s="28"/>
      <c r="Y160" s="28"/>
      <c r="Z160" s="28"/>
    </row>
    <row r="161" spans="1:26" s="14" customFormat="1" x14ac:dyDescent="0.25">
      <c r="A161" s="1"/>
      <c r="B161" t="s">
        <v>469</v>
      </c>
      <c r="C161" t="str">
        <f t="shared" si="10"/>
        <v>....</v>
      </c>
      <c r="D161" t="str">
        <f t="shared" si="11"/>
        <v>Bertambah</v>
      </c>
      <c r="E161" t="str">
        <f t="shared" si="12"/>
        <v>1.3.1.01.02.03.003</v>
      </c>
      <c r="F161" s="14">
        <v>156</v>
      </c>
      <c r="G161" s="24">
        <v>1</v>
      </c>
      <c r="H161" s="24">
        <v>3</v>
      </c>
      <c r="I161" s="24">
        <v>1</v>
      </c>
      <c r="J161" s="25" t="s">
        <v>13</v>
      </c>
      <c r="K161" s="25" t="s">
        <v>21</v>
      </c>
      <c r="L161" s="25" t="s">
        <v>24</v>
      </c>
      <c r="M161" s="25" t="s">
        <v>22</v>
      </c>
      <c r="N161" s="26" t="s">
        <v>216</v>
      </c>
      <c r="O161" s="14" t="b">
        <f t="shared" si="13"/>
        <v>0</v>
      </c>
      <c r="R161" s="14">
        <v>156</v>
      </c>
      <c r="S161" s="28"/>
      <c r="T161" s="28"/>
      <c r="U161" s="28"/>
      <c r="V161" s="28"/>
      <c r="W161" s="28"/>
      <c r="X161" s="28"/>
      <c r="Y161" s="28"/>
      <c r="Z161" s="28"/>
    </row>
    <row r="162" spans="1:26" s="1" customFormat="1" ht="15.75" x14ac:dyDescent="0.25">
      <c r="B162" t="s">
        <v>594</v>
      </c>
      <c r="C162" t="str">
        <f t="shared" si="10"/>
        <v>1.1.3.1.19</v>
      </c>
      <c r="D162" t="str">
        <f t="shared" si="11"/>
        <v>Berubah</v>
      </c>
      <c r="E162" t="str">
        <f t="shared" si="12"/>
        <v>1.3.1.01.02.03.004</v>
      </c>
      <c r="F162" s="1">
        <v>157</v>
      </c>
      <c r="G162" s="19">
        <v>1</v>
      </c>
      <c r="H162" s="19">
        <v>3</v>
      </c>
      <c r="I162" s="19">
        <v>1</v>
      </c>
      <c r="J162" s="20" t="s">
        <v>13</v>
      </c>
      <c r="K162" s="20" t="s">
        <v>21</v>
      </c>
      <c r="L162" s="20" t="s">
        <v>24</v>
      </c>
      <c r="M162" s="20" t="s">
        <v>25</v>
      </c>
      <c r="N162" s="21" t="s">
        <v>50</v>
      </c>
      <c r="O162" s="1" t="b">
        <f t="shared" si="13"/>
        <v>0</v>
      </c>
      <c r="R162" s="1">
        <v>157</v>
      </c>
      <c r="S162" s="42">
        <v>1</v>
      </c>
      <c r="T162" s="42">
        <v>1</v>
      </c>
      <c r="U162" s="42">
        <v>3</v>
      </c>
      <c r="V162" s="42">
        <v>1</v>
      </c>
      <c r="W162" s="42">
        <v>19</v>
      </c>
      <c r="X162" s="22" t="s">
        <v>48</v>
      </c>
      <c r="Y162" s="23" t="s">
        <v>194</v>
      </c>
      <c r="Z162" s="23">
        <v>21</v>
      </c>
    </row>
    <row r="163" spans="1:26" s="14" customFormat="1" ht="15.75" x14ac:dyDescent="0.25">
      <c r="A163" s="1"/>
      <c r="B163" t="s">
        <v>595</v>
      </c>
      <c r="C163" t="str">
        <f t="shared" si="10"/>
        <v>1.1.5.0.0</v>
      </c>
      <c r="D163" t="str">
        <f t="shared" si="11"/>
        <v>Berubah</v>
      </c>
      <c r="E163" t="str">
        <f t="shared" si="12"/>
        <v>1.3.1.01.02.04.</v>
      </c>
      <c r="F163" s="1">
        <v>158</v>
      </c>
      <c r="G163" s="19">
        <v>1</v>
      </c>
      <c r="H163" s="19">
        <v>3</v>
      </c>
      <c r="I163" s="19">
        <v>1</v>
      </c>
      <c r="J163" s="20" t="s">
        <v>13</v>
      </c>
      <c r="K163" s="20" t="s">
        <v>21</v>
      </c>
      <c r="L163" s="20" t="s">
        <v>27</v>
      </c>
      <c r="M163" s="20"/>
      <c r="N163" s="21" t="s">
        <v>217</v>
      </c>
      <c r="O163" s="1" t="b">
        <f t="shared" si="13"/>
        <v>0</v>
      </c>
      <c r="P163" s="1"/>
      <c r="Q163" s="1"/>
      <c r="R163" s="1">
        <v>158</v>
      </c>
      <c r="S163" s="42">
        <v>1</v>
      </c>
      <c r="T163" s="42">
        <v>1</v>
      </c>
      <c r="U163" s="42">
        <v>5</v>
      </c>
      <c r="V163" s="42">
        <v>0</v>
      </c>
      <c r="W163" s="42">
        <v>0</v>
      </c>
      <c r="X163" s="22" t="s">
        <v>218</v>
      </c>
      <c r="Y163" s="34"/>
      <c r="Z163" s="34"/>
    </row>
    <row r="164" spans="1:26" s="14" customFormat="1" ht="15.75" x14ac:dyDescent="0.25">
      <c r="A164" s="1"/>
      <c r="B164" t="s">
        <v>596</v>
      </c>
      <c r="C164" t="str">
        <f t="shared" si="10"/>
        <v>1.1.5.1.0</v>
      </c>
      <c r="D164" t="str">
        <f t="shared" si="11"/>
        <v>Berubah</v>
      </c>
      <c r="E164" t="str">
        <f t="shared" si="12"/>
        <v>1.3.1.01.02.04.001</v>
      </c>
      <c r="F164" s="14">
        <v>159</v>
      </c>
      <c r="G164" s="24">
        <v>1</v>
      </c>
      <c r="H164" s="24">
        <v>3</v>
      </c>
      <c r="I164" s="24">
        <v>1</v>
      </c>
      <c r="J164" s="25" t="s">
        <v>13</v>
      </c>
      <c r="K164" s="25" t="s">
        <v>21</v>
      </c>
      <c r="L164" s="25" t="s">
        <v>27</v>
      </c>
      <c r="M164" s="25" t="s">
        <v>17</v>
      </c>
      <c r="N164" s="26" t="s">
        <v>219</v>
      </c>
      <c r="O164" s="14" t="b">
        <f t="shared" si="13"/>
        <v>0</v>
      </c>
      <c r="R164" s="14">
        <v>159</v>
      </c>
      <c r="S164" s="43">
        <v>1</v>
      </c>
      <c r="T164" s="43">
        <v>1</v>
      </c>
      <c r="U164" s="43">
        <v>5</v>
      </c>
      <c r="V164" s="43">
        <v>1</v>
      </c>
      <c r="W164" s="43">
        <v>0</v>
      </c>
      <c r="X164" s="27" t="s">
        <v>220</v>
      </c>
      <c r="Y164" s="29" t="s">
        <v>221</v>
      </c>
      <c r="Z164" s="29">
        <v>1</v>
      </c>
    </row>
    <row r="165" spans="1:26" s="1" customFormat="1" ht="15.75" x14ac:dyDescent="0.25">
      <c r="B165" t="s">
        <v>597</v>
      </c>
      <c r="C165" t="str">
        <f t="shared" si="10"/>
        <v>1.1.5.1.1</v>
      </c>
      <c r="D165" t="str">
        <f t="shared" si="11"/>
        <v>Keluar</v>
      </c>
      <c r="E165" t="str">
        <f t="shared" si="12"/>
        <v>......</v>
      </c>
      <c r="F165" s="14">
        <v>160</v>
      </c>
      <c r="G165" s="24"/>
      <c r="H165" s="24"/>
      <c r="I165" s="24"/>
      <c r="J165" s="25"/>
      <c r="K165" s="25"/>
      <c r="L165" s="25"/>
      <c r="M165" s="25"/>
      <c r="N165" s="26"/>
      <c r="O165" s="14" t="b">
        <f t="shared" si="13"/>
        <v>0</v>
      </c>
      <c r="P165" s="14"/>
      <c r="Q165" s="14"/>
      <c r="R165" s="14">
        <v>160</v>
      </c>
      <c r="S165" s="43">
        <v>1</v>
      </c>
      <c r="T165" s="43">
        <v>1</v>
      </c>
      <c r="U165" s="43">
        <v>5</v>
      </c>
      <c r="V165" s="43">
        <v>1</v>
      </c>
      <c r="W165" s="43">
        <v>1</v>
      </c>
      <c r="X165" s="27" t="s">
        <v>222</v>
      </c>
      <c r="Y165" s="29" t="s">
        <v>221</v>
      </c>
      <c r="Z165" s="29">
        <v>2</v>
      </c>
    </row>
    <row r="166" spans="1:26" s="1" customFormat="1" ht="15.75" x14ac:dyDescent="0.25">
      <c r="B166" t="s">
        <v>598</v>
      </c>
      <c r="C166" t="str">
        <f t="shared" si="10"/>
        <v>1.1.5.1.2</v>
      </c>
      <c r="D166" t="str">
        <f t="shared" si="11"/>
        <v>Keluar</v>
      </c>
      <c r="E166" t="str">
        <f t="shared" si="12"/>
        <v>......</v>
      </c>
      <c r="F166" s="14">
        <v>161</v>
      </c>
      <c r="G166" s="24"/>
      <c r="H166" s="24"/>
      <c r="I166" s="24"/>
      <c r="J166" s="25"/>
      <c r="K166" s="25"/>
      <c r="L166" s="25"/>
      <c r="M166" s="25"/>
      <c r="N166" s="26"/>
      <c r="O166" s="14" t="b">
        <f t="shared" si="13"/>
        <v>0</v>
      </c>
      <c r="P166" s="14"/>
      <c r="Q166" s="14"/>
      <c r="R166" s="14">
        <v>161</v>
      </c>
      <c r="S166" s="43">
        <v>1</v>
      </c>
      <c r="T166" s="43">
        <v>1</v>
      </c>
      <c r="U166" s="43">
        <v>5</v>
      </c>
      <c r="V166" s="43">
        <v>1</v>
      </c>
      <c r="W166" s="43">
        <v>2</v>
      </c>
      <c r="X166" s="27" t="s">
        <v>223</v>
      </c>
      <c r="Y166" s="29" t="s">
        <v>221</v>
      </c>
      <c r="Z166" s="29">
        <v>3</v>
      </c>
    </row>
    <row r="167" spans="1:26" s="1" customFormat="1" ht="15.75" x14ac:dyDescent="0.25">
      <c r="B167" t="s">
        <v>599</v>
      </c>
      <c r="C167" t="str">
        <f t="shared" si="10"/>
        <v>1.1.5.1.3</v>
      </c>
      <c r="D167" t="str">
        <f t="shared" si="11"/>
        <v>Keluar</v>
      </c>
      <c r="E167" t="str">
        <f t="shared" si="12"/>
        <v>......</v>
      </c>
      <c r="F167" s="14">
        <v>162</v>
      </c>
      <c r="G167" s="24"/>
      <c r="H167" s="24"/>
      <c r="I167" s="24"/>
      <c r="J167" s="25"/>
      <c r="K167" s="25"/>
      <c r="L167" s="25"/>
      <c r="M167" s="25"/>
      <c r="N167" s="26"/>
      <c r="O167" s="14" t="b">
        <f t="shared" si="13"/>
        <v>0</v>
      </c>
      <c r="P167" s="14"/>
      <c r="Q167" s="14"/>
      <c r="R167" s="14">
        <v>162</v>
      </c>
      <c r="S167" s="43">
        <v>1</v>
      </c>
      <c r="T167" s="43">
        <v>1</v>
      </c>
      <c r="U167" s="43">
        <v>5</v>
      </c>
      <c r="V167" s="43">
        <v>1</v>
      </c>
      <c r="W167" s="43">
        <v>3</v>
      </c>
      <c r="X167" s="27" t="s">
        <v>224</v>
      </c>
      <c r="Y167" s="29" t="s">
        <v>221</v>
      </c>
      <c r="Z167" s="29">
        <v>4</v>
      </c>
    </row>
    <row r="168" spans="1:26" s="14" customFormat="1" ht="15.75" x14ac:dyDescent="0.25">
      <c r="A168" s="1"/>
      <c r="B168" t="s">
        <v>600</v>
      </c>
      <c r="C168" t="str">
        <f t="shared" si="10"/>
        <v>1.1.5.1.4</v>
      </c>
      <c r="D168" t="str">
        <f t="shared" si="11"/>
        <v>Keluar</v>
      </c>
      <c r="E168" t="str">
        <f t="shared" si="12"/>
        <v>......</v>
      </c>
      <c r="F168" s="14">
        <v>163</v>
      </c>
      <c r="G168" s="24"/>
      <c r="H168" s="24"/>
      <c r="I168" s="24"/>
      <c r="J168" s="25"/>
      <c r="K168" s="25"/>
      <c r="L168" s="25"/>
      <c r="M168" s="25"/>
      <c r="N168" s="26"/>
      <c r="O168" s="14" t="b">
        <f t="shared" si="13"/>
        <v>0</v>
      </c>
      <c r="R168" s="14">
        <v>163</v>
      </c>
      <c r="S168" s="43">
        <v>1</v>
      </c>
      <c r="T168" s="43">
        <v>1</v>
      </c>
      <c r="U168" s="43">
        <v>5</v>
      </c>
      <c r="V168" s="43">
        <v>1</v>
      </c>
      <c r="W168" s="43">
        <v>4</v>
      </c>
      <c r="X168" s="27" t="s">
        <v>225</v>
      </c>
      <c r="Y168" s="29" t="s">
        <v>221</v>
      </c>
      <c r="Z168" s="29">
        <v>5</v>
      </c>
    </row>
    <row r="169" spans="1:26" s="14" customFormat="1" ht="15.75" x14ac:dyDescent="0.25">
      <c r="A169" s="1"/>
      <c r="B169" t="s">
        <v>601</v>
      </c>
      <c r="C169" t="str">
        <f t="shared" si="10"/>
        <v>1.1.5.1.5</v>
      </c>
      <c r="D169" t="str">
        <f t="shared" si="11"/>
        <v>Keluar</v>
      </c>
      <c r="E169" t="str">
        <f t="shared" si="12"/>
        <v>......</v>
      </c>
      <c r="F169" s="14">
        <v>164</v>
      </c>
      <c r="G169" s="24"/>
      <c r="H169" s="24"/>
      <c r="I169" s="24"/>
      <c r="J169" s="25"/>
      <c r="K169" s="25"/>
      <c r="L169" s="25"/>
      <c r="M169" s="25"/>
      <c r="N169" s="26"/>
      <c r="O169" s="14" t="b">
        <f t="shared" si="13"/>
        <v>0</v>
      </c>
      <c r="R169" s="14">
        <v>164</v>
      </c>
      <c r="S169" s="43">
        <v>1</v>
      </c>
      <c r="T169" s="43">
        <v>1</v>
      </c>
      <c r="U169" s="43">
        <v>5</v>
      </c>
      <c r="V169" s="43">
        <v>1</v>
      </c>
      <c r="W169" s="43">
        <v>5</v>
      </c>
      <c r="X169" s="27" t="s">
        <v>226</v>
      </c>
      <c r="Y169" s="29" t="s">
        <v>221</v>
      </c>
      <c r="Z169" s="29">
        <v>6</v>
      </c>
    </row>
    <row r="170" spans="1:26" s="14" customFormat="1" ht="15.75" x14ac:dyDescent="0.25">
      <c r="A170" s="1"/>
      <c r="B170" t="s">
        <v>602</v>
      </c>
      <c r="C170" t="str">
        <f t="shared" si="10"/>
        <v>1.1.5.1.6</v>
      </c>
      <c r="D170" t="str">
        <f t="shared" si="11"/>
        <v>Keluar</v>
      </c>
      <c r="E170" t="str">
        <f t="shared" si="12"/>
        <v>......</v>
      </c>
      <c r="F170" s="14">
        <v>165</v>
      </c>
      <c r="G170" s="24"/>
      <c r="H170" s="24"/>
      <c r="I170" s="24"/>
      <c r="J170" s="25"/>
      <c r="K170" s="25"/>
      <c r="L170" s="25"/>
      <c r="M170" s="25"/>
      <c r="N170" s="26"/>
      <c r="O170" s="14" t="b">
        <f t="shared" si="13"/>
        <v>0</v>
      </c>
      <c r="R170" s="14">
        <v>165</v>
      </c>
      <c r="S170" s="43">
        <v>1</v>
      </c>
      <c r="T170" s="43">
        <v>1</v>
      </c>
      <c r="U170" s="43">
        <v>5</v>
      </c>
      <c r="V170" s="43">
        <v>1</v>
      </c>
      <c r="W170" s="43">
        <v>6</v>
      </c>
      <c r="X170" s="27" t="s">
        <v>227</v>
      </c>
      <c r="Y170" s="29" t="s">
        <v>221</v>
      </c>
      <c r="Z170" s="29">
        <v>7</v>
      </c>
    </row>
    <row r="171" spans="1:26" s="14" customFormat="1" ht="15.75" x14ac:dyDescent="0.25">
      <c r="A171" s="1"/>
      <c r="B171" t="s">
        <v>603</v>
      </c>
      <c r="C171" t="str">
        <f t="shared" si="10"/>
        <v>1.1.5.1.7</v>
      </c>
      <c r="D171" t="str">
        <f t="shared" si="11"/>
        <v>Keluar</v>
      </c>
      <c r="E171" t="str">
        <f t="shared" si="12"/>
        <v>......</v>
      </c>
      <c r="F171" s="14">
        <v>166</v>
      </c>
      <c r="G171" s="24"/>
      <c r="H171" s="24"/>
      <c r="I171" s="24"/>
      <c r="J171" s="25"/>
      <c r="K171" s="25"/>
      <c r="L171" s="25"/>
      <c r="M171" s="25"/>
      <c r="N171" s="26"/>
      <c r="O171" s="14" t="b">
        <f t="shared" si="13"/>
        <v>0</v>
      </c>
      <c r="R171" s="14">
        <v>166</v>
      </c>
      <c r="S171" s="43">
        <v>1</v>
      </c>
      <c r="T171" s="43">
        <v>1</v>
      </c>
      <c r="U171" s="43">
        <v>5</v>
      </c>
      <c r="V171" s="43">
        <v>1</v>
      </c>
      <c r="W171" s="43">
        <v>7</v>
      </c>
      <c r="X171" s="27" t="s">
        <v>228</v>
      </c>
      <c r="Y171" s="29" t="s">
        <v>221</v>
      </c>
      <c r="Z171" s="29">
        <v>8</v>
      </c>
    </row>
    <row r="172" spans="1:26" s="14" customFormat="1" ht="15.75" x14ac:dyDescent="0.25">
      <c r="A172" s="1"/>
      <c r="B172" t="s">
        <v>604</v>
      </c>
      <c r="C172" t="str">
        <f t="shared" si="10"/>
        <v>1.1.5.1.8</v>
      </c>
      <c r="D172" t="str">
        <f t="shared" si="11"/>
        <v>Keluar</v>
      </c>
      <c r="E172" t="str">
        <f t="shared" si="12"/>
        <v>......</v>
      </c>
      <c r="F172" s="14">
        <v>167</v>
      </c>
      <c r="G172" s="24"/>
      <c r="H172" s="24"/>
      <c r="I172" s="24"/>
      <c r="J172" s="25"/>
      <c r="K172" s="25"/>
      <c r="L172" s="25"/>
      <c r="M172" s="25"/>
      <c r="N172" s="26"/>
      <c r="O172" s="14" t="b">
        <f t="shared" si="13"/>
        <v>0</v>
      </c>
      <c r="R172" s="14">
        <v>167</v>
      </c>
      <c r="S172" s="43">
        <v>1</v>
      </c>
      <c r="T172" s="43">
        <v>1</v>
      </c>
      <c r="U172" s="43">
        <v>5</v>
      </c>
      <c r="V172" s="43">
        <v>1</v>
      </c>
      <c r="W172" s="43">
        <v>8</v>
      </c>
      <c r="X172" s="27" t="s">
        <v>229</v>
      </c>
      <c r="Y172" s="29" t="s">
        <v>221</v>
      </c>
      <c r="Z172" s="29">
        <v>9</v>
      </c>
    </row>
    <row r="173" spans="1:26" s="14" customFormat="1" ht="15.75" x14ac:dyDescent="0.25">
      <c r="A173" s="1"/>
      <c r="B173" t="s">
        <v>605</v>
      </c>
      <c r="C173" t="str">
        <f t="shared" si="10"/>
        <v>1.1.5.1.9</v>
      </c>
      <c r="D173" t="str">
        <f t="shared" si="11"/>
        <v>Keluar</v>
      </c>
      <c r="E173" t="str">
        <f t="shared" si="12"/>
        <v>......</v>
      </c>
      <c r="F173" s="14">
        <v>168</v>
      </c>
      <c r="G173" s="24"/>
      <c r="H173" s="24"/>
      <c r="I173" s="24"/>
      <c r="J173" s="25"/>
      <c r="K173" s="25"/>
      <c r="L173" s="25"/>
      <c r="M173" s="25"/>
      <c r="N173" s="26"/>
      <c r="O173" s="14" t="b">
        <f t="shared" si="13"/>
        <v>0</v>
      </c>
      <c r="R173" s="14">
        <v>168</v>
      </c>
      <c r="S173" s="43">
        <v>1</v>
      </c>
      <c r="T173" s="43">
        <v>1</v>
      </c>
      <c r="U173" s="43">
        <v>5</v>
      </c>
      <c r="V173" s="43">
        <v>1</v>
      </c>
      <c r="W173" s="43">
        <v>9</v>
      </c>
      <c r="X173" s="27" t="s">
        <v>230</v>
      </c>
      <c r="Y173" s="29" t="s">
        <v>221</v>
      </c>
      <c r="Z173" s="29">
        <v>10</v>
      </c>
    </row>
    <row r="174" spans="1:26" s="14" customFormat="1" ht="15.75" x14ac:dyDescent="0.25">
      <c r="A174" s="1"/>
      <c r="B174" t="s">
        <v>606</v>
      </c>
      <c r="C174" t="str">
        <f t="shared" si="10"/>
        <v>1.1.5.1.10</v>
      </c>
      <c r="D174" t="str">
        <f t="shared" si="11"/>
        <v>Keluar</v>
      </c>
      <c r="E174" t="str">
        <f t="shared" si="12"/>
        <v>......</v>
      </c>
      <c r="F174" s="14">
        <v>169</v>
      </c>
      <c r="G174" s="24"/>
      <c r="H174" s="24"/>
      <c r="I174" s="24"/>
      <c r="J174" s="25"/>
      <c r="K174" s="25"/>
      <c r="L174" s="25"/>
      <c r="M174" s="25"/>
      <c r="N174" s="26"/>
      <c r="O174" s="14" t="b">
        <f t="shared" si="13"/>
        <v>0</v>
      </c>
      <c r="R174" s="14">
        <v>169</v>
      </c>
      <c r="S174" s="43">
        <v>1</v>
      </c>
      <c r="T174" s="43">
        <v>1</v>
      </c>
      <c r="U174" s="43">
        <v>5</v>
      </c>
      <c r="V174" s="43">
        <v>1</v>
      </c>
      <c r="W174" s="43">
        <v>10</v>
      </c>
      <c r="X174" s="27" t="s">
        <v>231</v>
      </c>
      <c r="Y174" s="29" t="s">
        <v>221</v>
      </c>
      <c r="Z174" s="29">
        <v>11</v>
      </c>
    </row>
    <row r="175" spans="1:26" s="14" customFormat="1" ht="15.75" x14ac:dyDescent="0.25">
      <c r="A175" s="1"/>
      <c r="B175" t="s">
        <v>607</v>
      </c>
      <c r="C175" t="str">
        <f t="shared" si="10"/>
        <v>1.1.5.1.11</v>
      </c>
      <c r="D175" t="str">
        <f t="shared" si="11"/>
        <v>Keluar</v>
      </c>
      <c r="E175" t="str">
        <f t="shared" si="12"/>
        <v>......</v>
      </c>
      <c r="F175" s="14">
        <v>170</v>
      </c>
      <c r="G175" s="24"/>
      <c r="H175" s="24"/>
      <c r="I175" s="24"/>
      <c r="J175" s="25"/>
      <c r="K175" s="25"/>
      <c r="L175" s="25"/>
      <c r="M175" s="25"/>
      <c r="N175" s="26"/>
      <c r="O175" s="14" t="b">
        <f t="shared" si="13"/>
        <v>0</v>
      </c>
      <c r="R175" s="14">
        <v>170</v>
      </c>
      <c r="S175" s="43">
        <v>1</v>
      </c>
      <c r="T175" s="43">
        <v>1</v>
      </c>
      <c r="U175" s="43">
        <v>5</v>
      </c>
      <c r="V175" s="43">
        <v>1</v>
      </c>
      <c r="W175" s="43">
        <v>11</v>
      </c>
      <c r="X175" s="27" t="s">
        <v>48</v>
      </c>
      <c r="Y175" s="29" t="s">
        <v>221</v>
      </c>
      <c r="Z175" s="29">
        <v>12</v>
      </c>
    </row>
    <row r="176" spans="1:26" s="14" customFormat="1" ht="15.75" x14ac:dyDescent="0.25">
      <c r="A176" s="1"/>
      <c r="B176" t="s">
        <v>608</v>
      </c>
      <c r="C176" t="str">
        <f t="shared" si="10"/>
        <v>1.1.5.2.0</v>
      </c>
      <c r="D176" t="str">
        <f t="shared" si="11"/>
        <v>Keluar</v>
      </c>
      <c r="E176" t="str">
        <f t="shared" si="12"/>
        <v>......</v>
      </c>
      <c r="F176" s="14">
        <v>171</v>
      </c>
      <c r="G176" s="24"/>
      <c r="H176" s="24"/>
      <c r="I176" s="24"/>
      <c r="J176" s="25"/>
      <c r="K176" s="25"/>
      <c r="L176" s="25"/>
      <c r="M176" s="25"/>
      <c r="N176" s="26"/>
      <c r="O176" s="14" t="b">
        <f t="shared" si="13"/>
        <v>0</v>
      </c>
      <c r="R176" s="14">
        <v>171</v>
      </c>
      <c r="S176" s="43">
        <v>1</v>
      </c>
      <c r="T176" s="43">
        <v>1</v>
      </c>
      <c r="U176" s="43">
        <v>5</v>
      </c>
      <c r="V176" s="43">
        <v>2</v>
      </c>
      <c r="W176" s="43">
        <v>0</v>
      </c>
      <c r="X176" s="27" t="s">
        <v>232</v>
      </c>
      <c r="Y176" s="29" t="s">
        <v>221</v>
      </c>
      <c r="Z176" s="29">
        <v>14</v>
      </c>
    </row>
    <row r="177" spans="1:26" s="14" customFormat="1" ht="15.75" x14ac:dyDescent="0.25">
      <c r="A177" s="1"/>
      <c r="B177" t="s">
        <v>609</v>
      </c>
      <c r="C177" t="str">
        <f t="shared" si="10"/>
        <v>1.1.5.2.1</v>
      </c>
      <c r="D177" t="str">
        <f t="shared" si="11"/>
        <v>Keluar</v>
      </c>
      <c r="E177" t="str">
        <f t="shared" si="12"/>
        <v>......</v>
      </c>
      <c r="F177" s="14">
        <v>172</v>
      </c>
      <c r="G177" s="24"/>
      <c r="H177" s="24"/>
      <c r="I177" s="24"/>
      <c r="J177" s="25"/>
      <c r="K177" s="25"/>
      <c r="L177" s="25"/>
      <c r="M177" s="25"/>
      <c r="N177" s="26"/>
      <c r="O177" s="14" t="b">
        <f t="shared" si="13"/>
        <v>0</v>
      </c>
      <c r="R177" s="14">
        <v>172</v>
      </c>
      <c r="S177" s="43">
        <v>1</v>
      </c>
      <c r="T177" s="43">
        <v>1</v>
      </c>
      <c r="U177" s="43">
        <v>5</v>
      </c>
      <c r="V177" s="43">
        <v>2</v>
      </c>
      <c r="W177" s="43">
        <v>1</v>
      </c>
      <c r="X177" s="27" t="s">
        <v>233</v>
      </c>
      <c r="Y177" s="29" t="s">
        <v>221</v>
      </c>
      <c r="Z177" s="29">
        <v>15</v>
      </c>
    </row>
    <row r="178" spans="1:26" s="14" customFormat="1" ht="15.75" x14ac:dyDescent="0.25">
      <c r="A178" s="1"/>
      <c r="B178" t="s">
        <v>610</v>
      </c>
      <c r="C178" t="str">
        <f t="shared" si="10"/>
        <v>1.1.5.2.2</v>
      </c>
      <c r="D178" t="str">
        <f t="shared" si="11"/>
        <v>Keluar</v>
      </c>
      <c r="E178" t="str">
        <f t="shared" si="12"/>
        <v>......</v>
      </c>
      <c r="F178" s="14">
        <v>173</v>
      </c>
      <c r="G178" s="24"/>
      <c r="H178" s="24"/>
      <c r="I178" s="24"/>
      <c r="J178" s="25"/>
      <c r="K178" s="25"/>
      <c r="L178" s="25"/>
      <c r="M178" s="25"/>
      <c r="N178" s="26"/>
      <c r="O178" s="14" t="b">
        <f t="shared" si="13"/>
        <v>0</v>
      </c>
      <c r="R178" s="14">
        <v>173</v>
      </c>
      <c r="S178" s="43">
        <v>1</v>
      </c>
      <c r="T178" s="43">
        <v>1</v>
      </c>
      <c r="U178" s="43">
        <v>5</v>
      </c>
      <c r="V178" s="43">
        <v>2</v>
      </c>
      <c r="W178" s="43">
        <v>2</v>
      </c>
      <c r="X178" s="27" t="s">
        <v>232</v>
      </c>
      <c r="Y178" s="29" t="s">
        <v>221</v>
      </c>
      <c r="Z178" s="29">
        <v>16</v>
      </c>
    </row>
    <row r="179" spans="1:26" s="14" customFormat="1" ht="15.75" x14ac:dyDescent="0.25">
      <c r="A179" s="1"/>
      <c r="B179" t="s">
        <v>611</v>
      </c>
      <c r="C179" t="str">
        <f t="shared" si="10"/>
        <v>1.1.5.2.3</v>
      </c>
      <c r="D179" t="str">
        <f t="shared" si="11"/>
        <v>Keluar</v>
      </c>
      <c r="E179" t="str">
        <f t="shared" si="12"/>
        <v>......</v>
      </c>
      <c r="F179" s="14">
        <v>174</v>
      </c>
      <c r="G179" s="24"/>
      <c r="H179" s="24"/>
      <c r="I179" s="24"/>
      <c r="J179" s="25"/>
      <c r="K179" s="25"/>
      <c r="L179" s="25"/>
      <c r="M179" s="25"/>
      <c r="N179" s="26"/>
      <c r="O179" s="14" t="b">
        <f t="shared" si="13"/>
        <v>0</v>
      </c>
      <c r="R179" s="14">
        <v>174</v>
      </c>
      <c r="S179" s="43">
        <v>1</v>
      </c>
      <c r="T179" s="43">
        <v>1</v>
      </c>
      <c r="U179" s="43">
        <v>5</v>
      </c>
      <c r="V179" s="43">
        <v>2</v>
      </c>
      <c r="W179" s="43">
        <v>3</v>
      </c>
      <c r="X179" s="27" t="s">
        <v>48</v>
      </c>
      <c r="Y179" s="29" t="s">
        <v>221</v>
      </c>
      <c r="Z179" s="29">
        <v>17</v>
      </c>
    </row>
    <row r="180" spans="1:26" s="14" customFormat="1" ht="15.75" x14ac:dyDescent="0.25">
      <c r="A180" s="1"/>
      <c r="B180" t="s">
        <v>612</v>
      </c>
      <c r="C180" t="str">
        <f t="shared" si="10"/>
        <v>1.1.5.3.0</v>
      </c>
      <c r="D180" t="str">
        <f t="shared" si="11"/>
        <v>Keluar</v>
      </c>
      <c r="E180" t="str">
        <f t="shared" si="12"/>
        <v>......</v>
      </c>
      <c r="F180" s="14">
        <v>175</v>
      </c>
      <c r="G180" s="24"/>
      <c r="H180" s="24"/>
      <c r="I180" s="24"/>
      <c r="J180" s="25"/>
      <c r="K180" s="25"/>
      <c r="L180" s="25"/>
      <c r="M180" s="25"/>
      <c r="N180" s="26"/>
      <c r="O180" s="14" t="b">
        <f t="shared" si="13"/>
        <v>0</v>
      </c>
      <c r="R180" s="14">
        <v>175</v>
      </c>
      <c r="S180" s="43">
        <v>1</v>
      </c>
      <c r="T180" s="43">
        <v>1</v>
      </c>
      <c r="U180" s="43">
        <v>5</v>
      </c>
      <c r="V180" s="43">
        <v>3</v>
      </c>
      <c r="W180" s="43">
        <v>0</v>
      </c>
      <c r="X180" s="27" t="s">
        <v>234</v>
      </c>
      <c r="Y180" s="29" t="s">
        <v>221</v>
      </c>
      <c r="Z180" s="29">
        <v>18</v>
      </c>
    </row>
    <row r="181" spans="1:26" s="14" customFormat="1" ht="15.75" x14ac:dyDescent="0.25">
      <c r="A181" s="1"/>
      <c r="B181" t="s">
        <v>613</v>
      </c>
      <c r="C181" t="str">
        <f t="shared" si="10"/>
        <v>1.1.5.3.1</v>
      </c>
      <c r="D181" t="str">
        <f t="shared" si="11"/>
        <v>Keluar</v>
      </c>
      <c r="E181" t="str">
        <f t="shared" si="12"/>
        <v>......</v>
      </c>
      <c r="F181" s="14">
        <v>176</v>
      </c>
      <c r="G181" s="24"/>
      <c r="H181" s="24"/>
      <c r="I181" s="24"/>
      <c r="J181" s="25"/>
      <c r="K181" s="25"/>
      <c r="L181" s="25"/>
      <c r="M181" s="25"/>
      <c r="N181" s="26"/>
      <c r="O181" s="14" t="b">
        <f t="shared" si="13"/>
        <v>0</v>
      </c>
      <c r="R181" s="14">
        <v>176</v>
      </c>
      <c r="S181" s="43">
        <v>1</v>
      </c>
      <c r="T181" s="43">
        <v>1</v>
      </c>
      <c r="U181" s="43">
        <v>5</v>
      </c>
      <c r="V181" s="43">
        <v>3</v>
      </c>
      <c r="W181" s="43">
        <v>1</v>
      </c>
      <c r="X181" s="27" t="s">
        <v>235</v>
      </c>
      <c r="Y181" s="29" t="s">
        <v>221</v>
      </c>
      <c r="Z181" s="29">
        <v>19</v>
      </c>
    </row>
    <row r="182" spans="1:26" s="14" customFormat="1" ht="15.75" x14ac:dyDescent="0.25">
      <c r="A182" s="1"/>
      <c r="B182" t="s">
        <v>614</v>
      </c>
      <c r="C182" t="str">
        <f t="shared" si="10"/>
        <v>1.1.5.3.2</v>
      </c>
      <c r="D182" t="str">
        <f t="shared" si="11"/>
        <v>Keluar</v>
      </c>
      <c r="E182" t="str">
        <f t="shared" si="12"/>
        <v>......</v>
      </c>
      <c r="F182" s="14">
        <v>177</v>
      </c>
      <c r="G182" s="24"/>
      <c r="H182" s="24"/>
      <c r="I182" s="24"/>
      <c r="J182" s="25"/>
      <c r="K182" s="25"/>
      <c r="L182" s="25"/>
      <c r="M182" s="25"/>
      <c r="N182" s="26"/>
      <c r="O182" s="14" t="b">
        <f t="shared" si="13"/>
        <v>0</v>
      </c>
      <c r="R182" s="14">
        <v>177</v>
      </c>
      <c r="S182" s="43">
        <v>1</v>
      </c>
      <c r="T182" s="43">
        <v>1</v>
      </c>
      <c r="U182" s="43">
        <v>5</v>
      </c>
      <c r="V182" s="43">
        <v>3</v>
      </c>
      <c r="W182" s="43">
        <v>2</v>
      </c>
      <c r="X182" s="27" t="s">
        <v>236</v>
      </c>
      <c r="Y182" s="29" t="s">
        <v>221</v>
      </c>
      <c r="Z182" s="29">
        <v>20</v>
      </c>
    </row>
    <row r="183" spans="1:26" s="14" customFormat="1" ht="15.75" x14ac:dyDescent="0.25">
      <c r="A183" s="1"/>
      <c r="B183" t="s">
        <v>615</v>
      </c>
      <c r="C183" t="str">
        <f t="shared" si="10"/>
        <v>1.1.5.3.3</v>
      </c>
      <c r="D183" t="str">
        <f t="shared" si="11"/>
        <v>Keluar</v>
      </c>
      <c r="E183" t="str">
        <f t="shared" si="12"/>
        <v>......</v>
      </c>
      <c r="F183" s="14">
        <v>178</v>
      </c>
      <c r="G183" s="24"/>
      <c r="H183" s="24"/>
      <c r="I183" s="24"/>
      <c r="J183" s="25"/>
      <c r="K183" s="25"/>
      <c r="L183" s="25"/>
      <c r="M183" s="25"/>
      <c r="N183" s="26"/>
      <c r="O183" s="14" t="b">
        <f t="shared" si="13"/>
        <v>0</v>
      </c>
      <c r="R183" s="14">
        <v>178</v>
      </c>
      <c r="S183" s="43">
        <v>1</v>
      </c>
      <c r="T183" s="43">
        <v>1</v>
      </c>
      <c r="U183" s="43">
        <v>5</v>
      </c>
      <c r="V183" s="43">
        <v>3</v>
      </c>
      <c r="W183" s="43">
        <v>3</v>
      </c>
      <c r="X183" s="27" t="s">
        <v>237</v>
      </c>
      <c r="Y183" s="29" t="s">
        <v>221</v>
      </c>
      <c r="Z183" s="29">
        <v>21</v>
      </c>
    </row>
    <row r="184" spans="1:26" s="14" customFormat="1" ht="15.75" x14ac:dyDescent="0.25">
      <c r="A184" s="1"/>
      <c r="B184" t="s">
        <v>616</v>
      </c>
      <c r="C184" t="str">
        <f t="shared" si="10"/>
        <v>1.1.5.3.4</v>
      </c>
      <c r="D184" t="str">
        <f t="shared" si="11"/>
        <v>Keluar</v>
      </c>
      <c r="E184" t="str">
        <f t="shared" si="12"/>
        <v>......</v>
      </c>
      <c r="F184" s="14">
        <v>179</v>
      </c>
      <c r="G184" s="24"/>
      <c r="H184" s="24"/>
      <c r="I184" s="24"/>
      <c r="J184" s="25"/>
      <c r="K184" s="25"/>
      <c r="L184" s="25"/>
      <c r="M184" s="25"/>
      <c r="N184" s="26"/>
      <c r="O184" s="14" t="b">
        <f t="shared" si="13"/>
        <v>0</v>
      </c>
      <c r="R184" s="14">
        <v>179</v>
      </c>
      <c r="S184" s="43">
        <v>1</v>
      </c>
      <c r="T184" s="43">
        <v>1</v>
      </c>
      <c r="U184" s="43">
        <v>5</v>
      </c>
      <c r="V184" s="43">
        <v>3</v>
      </c>
      <c r="W184" s="43">
        <v>4</v>
      </c>
      <c r="X184" s="27" t="s">
        <v>48</v>
      </c>
      <c r="Y184" s="29" t="s">
        <v>221</v>
      </c>
      <c r="Z184" s="29">
        <v>22</v>
      </c>
    </row>
    <row r="185" spans="1:26" s="14" customFormat="1" ht="15.75" x14ac:dyDescent="0.25">
      <c r="A185" s="1"/>
      <c r="B185" t="s">
        <v>617</v>
      </c>
      <c r="C185" t="str">
        <f t="shared" si="10"/>
        <v>1.1.5.4.0</v>
      </c>
      <c r="D185" t="str">
        <f t="shared" si="11"/>
        <v>Keluar</v>
      </c>
      <c r="E185" t="str">
        <f t="shared" si="12"/>
        <v>......</v>
      </c>
      <c r="F185" s="14">
        <v>180</v>
      </c>
      <c r="G185" s="24"/>
      <c r="H185" s="24"/>
      <c r="I185" s="24"/>
      <c r="J185" s="25"/>
      <c r="K185" s="25"/>
      <c r="L185" s="25"/>
      <c r="M185" s="25"/>
      <c r="N185" s="26"/>
      <c r="O185" s="14" t="b">
        <f t="shared" si="13"/>
        <v>0</v>
      </c>
      <c r="R185" s="14">
        <v>180</v>
      </c>
      <c r="S185" s="43">
        <v>1</v>
      </c>
      <c r="T185" s="43">
        <v>1</v>
      </c>
      <c r="U185" s="43">
        <v>5</v>
      </c>
      <c r="V185" s="43">
        <v>4</v>
      </c>
      <c r="W185" s="43">
        <v>0</v>
      </c>
      <c r="X185" s="27" t="s">
        <v>238</v>
      </c>
      <c r="Y185" s="29" t="s">
        <v>221</v>
      </c>
      <c r="Z185" s="29">
        <v>23</v>
      </c>
    </row>
    <row r="186" spans="1:26" s="14" customFormat="1" ht="15.75" x14ac:dyDescent="0.25">
      <c r="A186" s="1"/>
      <c r="B186" t="s">
        <v>618</v>
      </c>
      <c r="C186" t="str">
        <f t="shared" si="10"/>
        <v>1.1.5.4.1</v>
      </c>
      <c r="D186" t="str">
        <f t="shared" si="11"/>
        <v>Keluar</v>
      </c>
      <c r="E186" t="str">
        <f t="shared" si="12"/>
        <v>......</v>
      </c>
      <c r="F186" s="14">
        <v>181</v>
      </c>
      <c r="G186" s="24"/>
      <c r="H186" s="24"/>
      <c r="I186" s="24"/>
      <c r="J186" s="25"/>
      <c r="K186" s="25"/>
      <c r="L186" s="25"/>
      <c r="M186" s="25"/>
      <c r="N186" s="26"/>
      <c r="O186" s="14" t="b">
        <f t="shared" si="13"/>
        <v>0</v>
      </c>
      <c r="R186" s="14">
        <v>181</v>
      </c>
      <c r="S186" s="43">
        <v>1</v>
      </c>
      <c r="T186" s="43">
        <v>1</v>
      </c>
      <c r="U186" s="43">
        <v>5</v>
      </c>
      <c r="V186" s="43">
        <v>4</v>
      </c>
      <c r="W186" s="43">
        <v>1</v>
      </c>
      <c r="X186" s="27" t="s">
        <v>239</v>
      </c>
      <c r="Y186" s="29" t="s">
        <v>221</v>
      </c>
      <c r="Z186" s="29">
        <v>24</v>
      </c>
    </row>
    <row r="187" spans="1:26" s="14" customFormat="1" ht="15.75" x14ac:dyDescent="0.25">
      <c r="A187" s="1"/>
      <c r="B187" t="s">
        <v>619</v>
      </c>
      <c r="C187" t="str">
        <f t="shared" si="10"/>
        <v>1.1.5.4.2</v>
      </c>
      <c r="D187" t="str">
        <f t="shared" si="11"/>
        <v>Keluar</v>
      </c>
      <c r="E187" t="str">
        <f t="shared" si="12"/>
        <v>......</v>
      </c>
      <c r="F187" s="14">
        <v>182</v>
      </c>
      <c r="G187" s="24"/>
      <c r="H187" s="24"/>
      <c r="I187" s="24"/>
      <c r="J187" s="25"/>
      <c r="K187" s="25"/>
      <c r="L187" s="25"/>
      <c r="M187" s="25"/>
      <c r="N187" s="26"/>
      <c r="O187" s="14" t="b">
        <f t="shared" si="13"/>
        <v>0</v>
      </c>
      <c r="R187" s="14">
        <v>182</v>
      </c>
      <c r="S187" s="43">
        <v>1</v>
      </c>
      <c r="T187" s="43">
        <v>1</v>
      </c>
      <c r="U187" s="43">
        <v>5</v>
      </c>
      <c r="V187" s="43">
        <v>4</v>
      </c>
      <c r="W187" s="43">
        <v>2</v>
      </c>
      <c r="X187" s="27" t="s">
        <v>240</v>
      </c>
      <c r="Y187" s="29" t="s">
        <v>221</v>
      </c>
      <c r="Z187" s="29">
        <v>25</v>
      </c>
    </row>
    <row r="188" spans="1:26" s="14" customFormat="1" ht="15.75" x14ac:dyDescent="0.25">
      <c r="A188" s="1"/>
      <c r="B188" t="s">
        <v>620</v>
      </c>
      <c r="C188" t="str">
        <f t="shared" si="10"/>
        <v>1.1.5.4.3</v>
      </c>
      <c r="D188" t="str">
        <f t="shared" si="11"/>
        <v>Keluar</v>
      </c>
      <c r="E188" t="str">
        <f t="shared" si="12"/>
        <v>......</v>
      </c>
      <c r="F188" s="14">
        <v>183</v>
      </c>
      <c r="G188" s="24"/>
      <c r="H188" s="24"/>
      <c r="I188" s="24"/>
      <c r="J188" s="25"/>
      <c r="K188" s="25"/>
      <c r="L188" s="25"/>
      <c r="M188" s="25"/>
      <c r="N188" s="26"/>
      <c r="O188" s="14" t="b">
        <f t="shared" si="13"/>
        <v>0</v>
      </c>
      <c r="R188" s="14">
        <v>183</v>
      </c>
      <c r="S188" s="43">
        <v>1</v>
      </c>
      <c r="T188" s="43">
        <v>1</v>
      </c>
      <c r="U188" s="43">
        <v>5</v>
      </c>
      <c r="V188" s="43">
        <v>4</v>
      </c>
      <c r="W188" s="43">
        <v>3</v>
      </c>
      <c r="X188" s="27" t="s">
        <v>241</v>
      </c>
      <c r="Y188" s="29" t="s">
        <v>221</v>
      </c>
      <c r="Z188" s="29">
        <v>26</v>
      </c>
    </row>
    <row r="189" spans="1:26" s="14" customFormat="1" ht="15.75" x14ac:dyDescent="0.25">
      <c r="A189" s="1"/>
      <c r="B189" t="s">
        <v>621</v>
      </c>
      <c r="C189" t="str">
        <f t="shared" si="10"/>
        <v>1.1.5.4.4</v>
      </c>
      <c r="D189" t="str">
        <f t="shared" si="11"/>
        <v>Keluar</v>
      </c>
      <c r="E189" t="str">
        <f t="shared" si="12"/>
        <v>......</v>
      </c>
      <c r="F189" s="14">
        <v>184</v>
      </c>
      <c r="G189" s="24"/>
      <c r="H189" s="24"/>
      <c r="I189" s="24"/>
      <c r="J189" s="25"/>
      <c r="K189" s="25"/>
      <c r="L189" s="25"/>
      <c r="M189" s="25"/>
      <c r="N189" s="26"/>
      <c r="O189" s="14" t="b">
        <f t="shared" si="13"/>
        <v>0</v>
      </c>
      <c r="R189" s="14">
        <v>184</v>
      </c>
      <c r="S189" s="43">
        <v>1</v>
      </c>
      <c r="T189" s="43">
        <v>1</v>
      </c>
      <c r="U189" s="43">
        <v>5</v>
      </c>
      <c r="V189" s="43">
        <v>4</v>
      </c>
      <c r="W189" s="43">
        <v>4</v>
      </c>
      <c r="X189" s="27" t="s">
        <v>242</v>
      </c>
      <c r="Y189" s="29" t="s">
        <v>221</v>
      </c>
      <c r="Z189" s="29">
        <v>27</v>
      </c>
    </row>
    <row r="190" spans="1:26" s="14" customFormat="1" ht="15.75" x14ac:dyDescent="0.25">
      <c r="A190" s="1"/>
      <c r="B190" t="s">
        <v>622</v>
      </c>
      <c r="C190" t="str">
        <f t="shared" si="10"/>
        <v>1.1.5.4.5</v>
      </c>
      <c r="D190" t="str">
        <f t="shared" si="11"/>
        <v>Keluar</v>
      </c>
      <c r="E190" t="str">
        <f t="shared" si="12"/>
        <v>......</v>
      </c>
      <c r="F190" s="14">
        <v>185</v>
      </c>
      <c r="G190" s="24"/>
      <c r="H190" s="24"/>
      <c r="I190" s="24"/>
      <c r="J190" s="25"/>
      <c r="K190" s="25"/>
      <c r="L190" s="25"/>
      <c r="M190" s="25"/>
      <c r="N190" s="26"/>
      <c r="O190" s="14" t="b">
        <f t="shared" si="13"/>
        <v>0</v>
      </c>
      <c r="R190" s="14">
        <v>185</v>
      </c>
      <c r="S190" s="43">
        <v>1</v>
      </c>
      <c r="T190" s="43">
        <v>1</v>
      </c>
      <c r="U190" s="43">
        <v>5</v>
      </c>
      <c r="V190" s="43">
        <v>4</v>
      </c>
      <c r="W190" s="43">
        <v>5</v>
      </c>
      <c r="X190" s="27" t="s">
        <v>243</v>
      </c>
      <c r="Y190" s="29" t="s">
        <v>221</v>
      </c>
      <c r="Z190" s="29">
        <v>28</v>
      </c>
    </row>
    <row r="191" spans="1:26" s="14" customFormat="1" ht="15.75" x14ac:dyDescent="0.25">
      <c r="A191" s="1"/>
      <c r="B191" t="s">
        <v>623</v>
      </c>
      <c r="C191" t="str">
        <f t="shared" si="10"/>
        <v>1.1.5.4.6</v>
      </c>
      <c r="D191" t="str">
        <f t="shared" si="11"/>
        <v>Keluar</v>
      </c>
      <c r="E191" t="str">
        <f t="shared" si="12"/>
        <v>......</v>
      </c>
      <c r="F191" s="14">
        <v>186</v>
      </c>
      <c r="G191" s="24"/>
      <c r="H191" s="24"/>
      <c r="I191" s="24"/>
      <c r="J191" s="25"/>
      <c r="K191" s="25"/>
      <c r="L191" s="25"/>
      <c r="M191" s="25"/>
      <c r="N191" s="26"/>
      <c r="O191" s="14" t="b">
        <f t="shared" si="13"/>
        <v>0</v>
      </c>
      <c r="R191" s="14">
        <v>186</v>
      </c>
      <c r="S191" s="43">
        <v>1</v>
      </c>
      <c r="T191" s="43">
        <v>1</v>
      </c>
      <c r="U191" s="43">
        <v>5</v>
      </c>
      <c r="V191" s="43">
        <v>4</v>
      </c>
      <c r="W191" s="43">
        <v>6</v>
      </c>
      <c r="X191" s="27" t="s">
        <v>237</v>
      </c>
      <c r="Y191" s="29" t="s">
        <v>221</v>
      </c>
      <c r="Z191" s="29">
        <v>29</v>
      </c>
    </row>
    <row r="192" spans="1:26" s="14" customFormat="1" ht="15.75" x14ac:dyDescent="0.25">
      <c r="A192" s="1"/>
      <c r="B192" t="s">
        <v>624</v>
      </c>
      <c r="C192" t="str">
        <f t="shared" si="10"/>
        <v>1.1.5.4.7</v>
      </c>
      <c r="D192" t="str">
        <f t="shared" si="11"/>
        <v>Keluar</v>
      </c>
      <c r="E192" t="str">
        <f t="shared" si="12"/>
        <v>......</v>
      </c>
      <c r="F192" s="14">
        <v>187</v>
      </c>
      <c r="G192" s="24"/>
      <c r="H192" s="24"/>
      <c r="I192" s="24"/>
      <c r="J192" s="25"/>
      <c r="K192" s="25"/>
      <c r="L192" s="25"/>
      <c r="M192" s="25"/>
      <c r="N192" s="26"/>
      <c r="O192" s="14" t="b">
        <f t="shared" si="13"/>
        <v>0</v>
      </c>
      <c r="R192" s="14">
        <v>187</v>
      </c>
      <c r="S192" s="43">
        <v>1</v>
      </c>
      <c r="T192" s="43">
        <v>1</v>
      </c>
      <c r="U192" s="43">
        <v>5</v>
      </c>
      <c r="V192" s="43">
        <v>4</v>
      </c>
      <c r="W192" s="43">
        <v>7</v>
      </c>
      <c r="X192" s="27" t="s">
        <v>48</v>
      </c>
      <c r="Y192" s="29" t="s">
        <v>221</v>
      </c>
      <c r="Z192" s="29">
        <v>30</v>
      </c>
    </row>
    <row r="193" spans="1:26" s="14" customFormat="1" ht="15.75" x14ac:dyDescent="0.25">
      <c r="A193" s="1"/>
      <c r="B193" t="s">
        <v>625</v>
      </c>
      <c r="C193" t="str">
        <f t="shared" si="10"/>
        <v>1.1.5.5.1</v>
      </c>
      <c r="D193" t="str">
        <f t="shared" si="11"/>
        <v>Berubah</v>
      </c>
      <c r="E193" t="str">
        <f t="shared" si="12"/>
        <v>1.3.1.01.02.04.002</v>
      </c>
      <c r="F193" s="1">
        <v>188</v>
      </c>
      <c r="G193" s="19">
        <v>1</v>
      </c>
      <c r="H193" s="19">
        <v>3</v>
      </c>
      <c r="I193" s="19">
        <v>1</v>
      </c>
      <c r="J193" s="20" t="s">
        <v>13</v>
      </c>
      <c r="K193" s="20" t="s">
        <v>21</v>
      </c>
      <c r="L193" s="20" t="s">
        <v>27</v>
      </c>
      <c r="M193" s="20" t="s">
        <v>19</v>
      </c>
      <c r="N193" s="21" t="s">
        <v>244</v>
      </c>
      <c r="O193" s="1" t="b">
        <f t="shared" si="13"/>
        <v>0</v>
      </c>
      <c r="P193" s="1"/>
      <c r="Q193" s="1"/>
      <c r="R193" s="1">
        <v>188</v>
      </c>
      <c r="S193" s="42">
        <v>1</v>
      </c>
      <c r="T193" s="42">
        <v>1</v>
      </c>
      <c r="U193" s="42">
        <v>5</v>
      </c>
      <c r="V193" s="42">
        <v>5</v>
      </c>
      <c r="W193" s="42">
        <v>1</v>
      </c>
      <c r="X193" s="22" t="s">
        <v>245</v>
      </c>
      <c r="Y193" s="23" t="s">
        <v>221</v>
      </c>
      <c r="Z193" s="23">
        <v>32</v>
      </c>
    </row>
    <row r="194" spans="1:26" s="14" customFormat="1" ht="15.75" x14ac:dyDescent="0.25">
      <c r="A194" s="1"/>
      <c r="B194" t="s">
        <v>626</v>
      </c>
      <c r="C194" t="str">
        <f t="shared" si="10"/>
        <v>1.1.5.5.2</v>
      </c>
      <c r="D194" t="str">
        <f t="shared" si="11"/>
        <v>Berubah</v>
      </c>
      <c r="E194" t="str">
        <f t="shared" si="12"/>
        <v>1.3.1.01.02.04.003</v>
      </c>
      <c r="F194" s="1">
        <v>189</v>
      </c>
      <c r="G194" s="19">
        <v>1</v>
      </c>
      <c r="H194" s="19">
        <v>3</v>
      </c>
      <c r="I194" s="19">
        <v>1</v>
      </c>
      <c r="J194" s="20" t="s">
        <v>13</v>
      </c>
      <c r="K194" s="20" t="s">
        <v>21</v>
      </c>
      <c r="L194" s="20" t="s">
        <v>27</v>
      </c>
      <c r="M194" s="20" t="s">
        <v>22</v>
      </c>
      <c r="N194" s="21" t="s">
        <v>246</v>
      </c>
      <c r="O194" s="1" t="b">
        <f t="shared" si="13"/>
        <v>0</v>
      </c>
      <c r="P194" s="1"/>
      <c r="Q194" s="1"/>
      <c r="R194" s="1">
        <v>189</v>
      </c>
      <c r="S194" s="42">
        <v>1</v>
      </c>
      <c r="T194" s="42">
        <v>1</v>
      </c>
      <c r="U194" s="42">
        <v>5</v>
      </c>
      <c r="V194" s="42">
        <v>5</v>
      </c>
      <c r="W194" s="42">
        <v>2</v>
      </c>
      <c r="X194" s="22" t="s">
        <v>247</v>
      </c>
      <c r="Y194" s="23" t="s">
        <v>221</v>
      </c>
      <c r="Z194" s="23">
        <v>33</v>
      </c>
    </row>
    <row r="195" spans="1:26" s="14" customFormat="1" ht="15.75" x14ac:dyDescent="0.25">
      <c r="A195" s="1"/>
      <c r="B195" t="s">
        <v>627</v>
      </c>
      <c r="C195" t="str">
        <f t="shared" si="10"/>
        <v>1.1.5.5.3</v>
      </c>
      <c r="D195" t="str">
        <f t="shared" si="11"/>
        <v>Berubah</v>
      </c>
      <c r="E195" t="str">
        <f t="shared" si="12"/>
        <v>1.3.1.01.02.04.004</v>
      </c>
      <c r="F195" s="1">
        <v>190</v>
      </c>
      <c r="G195" s="19">
        <v>1</v>
      </c>
      <c r="H195" s="19">
        <v>3</v>
      </c>
      <c r="I195" s="19">
        <v>1</v>
      </c>
      <c r="J195" s="20" t="s">
        <v>13</v>
      </c>
      <c r="K195" s="20" t="s">
        <v>21</v>
      </c>
      <c r="L195" s="20" t="s">
        <v>27</v>
      </c>
      <c r="M195" s="20" t="s">
        <v>25</v>
      </c>
      <c r="N195" s="21" t="s">
        <v>248</v>
      </c>
      <c r="O195" s="1" t="b">
        <f t="shared" si="13"/>
        <v>0</v>
      </c>
      <c r="P195" s="1"/>
      <c r="Q195" s="1"/>
      <c r="R195" s="1">
        <v>190</v>
      </c>
      <c r="S195" s="42">
        <v>1</v>
      </c>
      <c r="T195" s="42">
        <v>1</v>
      </c>
      <c r="U195" s="42">
        <v>5</v>
      </c>
      <c r="V195" s="42">
        <v>5</v>
      </c>
      <c r="W195" s="42">
        <v>3</v>
      </c>
      <c r="X195" s="22" t="s">
        <v>249</v>
      </c>
      <c r="Y195" s="23" t="s">
        <v>221</v>
      </c>
      <c r="Z195" s="23">
        <v>34</v>
      </c>
    </row>
    <row r="196" spans="1:26" s="14" customFormat="1" ht="15.75" x14ac:dyDescent="0.25">
      <c r="A196" s="1"/>
      <c r="B196" t="s">
        <v>628</v>
      </c>
      <c r="C196" t="str">
        <f t="shared" si="10"/>
        <v>1.1.5.5.4</v>
      </c>
      <c r="D196" t="str">
        <f t="shared" si="11"/>
        <v>Berubah</v>
      </c>
      <c r="E196" t="str">
        <f t="shared" si="12"/>
        <v>1.3.1.01.02.04.005</v>
      </c>
      <c r="F196" s="1">
        <v>191</v>
      </c>
      <c r="G196" s="19">
        <v>1</v>
      </c>
      <c r="H196" s="19">
        <v>3</v>
      </c>
      <c r="I196" s="19">
        <v>1</v>
      </c>
      <c r="J196" s="20" t="s">
        <v>13</v>
      </c>
      <c r="K196" s="20" t="s">
        <v>21</v>
      </c>
      <c r="L196" s="20" t="s">
        <v>27</v>
      </c>
      <c r="M196" s="20" t="s">
        <v>28</v>
      </c>
      <c r="N196" s="21" t="s">
        <v>250</v>
      </c>
      <c r="O196" s="1" t="b">
        <f t="shared" si="13"/>
        <v>0</v>
      </c>
      <c r="P196" s="1"/>
      <c r="Q196" s="1"/>
      <c r="R196" s="1">
        <v>191</v>
      </c>
      <c r="S196" s="42">
        <v>1</v>
      </c>
      <c r="T196" s="42">
        <v>1</v>
      </c>
      <c r="U196" s="42">
        <v>5</v>
      </c>
      <c r="V196" s="42">
        <v>5</v>
      </c>
      <c r="W196" s="42">
        <v>4</v>
      </c>
      <c r="X196" s="22" t="s">
        <v>251</v>
      </c>
      <c r="Y196" s="23" t="s">
        <v>221</v>
      </c>
      <c r="Z196" s="23">
        <v>35</v>
      </c>
    </row>
    <row r="197" spans="1:26" s="14" customFormat="1" ht="15.75" x14ac:dyDescent="0.25">
      <c r="A197" s="1"/>
      <c r="B197" t="s">
        <v>629</v>
      </c>
      <c r="C197" t="str">
        <f t="shared" si="10"/>
        <v>1.1.5.5.5</v>
      </c>
      <c r="D197" t="str">
        <f t="shared" si="11"/>
        <v>Berubah</v>
      </c>
      <c r="E197" t="str">
        <f t="shared" si="12"/>
        <v>1.3.1.01.02.04.006</v>
      </c>
      <c r="F197" s="1">
        <v>192</v>
      </c>
      <c r="G197" s="19">
        <v>1</v>
      </c>
      <c r="H197" s="19">
        <v>3</v>
      </c>
      <c r="I197" s="19">
        <v>1</v>
      </c>
      <c r="J197" s="20" t="s">
        <v>13</v>
      </c>
      <c r="K197" s="20" t="s">
        <v>21</v>
      </c>
      <c r="L197" s="20" t="s">
        <v>27</v>
      </c>
      <c r="M197" s="20" t="s">
        <v>31</v>
      </c>
      <c r="N197" s="21" t="s">
        <v>252</v>
      </c>
      <c r="O197" s="1" t="b">
        <f t="shared" si="13"/>
        <v>0</v>
      </c>
      <c r="P197" s="1"/>
      <c r="Q197" s="1"/>
      <c r="R197" s="1">
        <v>192</v>
      </c>
      <c r="S197" s="42">
        <v>1</v>
      </c>
      <c r="T197" s="42">
        <v>1</v>
      </c>
      <c r="U197" s="42">
        <v>5</v>
      </c>
      <c r="V197" s="42">
        <v>5</v>
      </c>
      <c r="W197" s="42">
        <v>5</v>
      </c>
      <c r="X197" s="22" t="s">
        <v>253</v>
      </c>
      <c r="Y197" s="23" t="s">
        <v>221</v>
      </c>
      <c r="Z197" s="23">
        <v>36</v>
      </c>
    </row>
    <row r="198" spans="1:26" s="14" customFormat="1" ht="15.75" x14ac:dyDescent="0.25">
      <c r="A198" s="1"/>
      <c r="B198" t="s">
        <v>630</v>
      </c>
      <c r="C198" t="str">
        <f t="shared" si="10"/>
        <v>1.1.5.5.6</v>
      </c>
      <c r="D198" t="str">
        <f t="shared" si="11"/>
        <v>Berubah</v>
      </c>
      <c r="E198" t="str">
        <f t="shared" si="12"/>
        <v>1.3.1.01.02.04.007</v>
      </c>
      <c r="F198" s="1">
        <v>193</v>
      </c>
      <c r="G198" s="19">
        <v>1</v>
      </c>
      <c r="H198" s="19">
        <v>3</v>
      </c>
      <c r="I198" s="19">
        <v>1</v>
      </c>
      <c r="J198" s="20" t="s">
        <v>13</v>
      </c>
      <c r="K198" s="20" t="s">
        <v>21</v>
      </c>
      <c r="L198" s="20" t="s">
        <v>27</v>
      </c>
      <c r="M198" s="20" t="s">
        <v>34</v>
      </c>
      <c r="N198" s="21" t="s">
        <v>254</v>
      </c>
      <c r="O198" s="1" t="b">
        <f t="shared" si="13"/>
        <v>0</v>
      </c>
      <c r="P198" s="1"/>
      <c r="Q198" s="1"/>
      <c r="R198" s="1">
        <v>193</v>
      </c>
      <c r="S198" s="42">
        <v>1</v>
      </c>
      <c r="T198" s="42">
        <v>1</v>
      </c>
      <c r="U198" s="42">
        <v>5</v>
      </c>
      <c r="V198" s="42">
        <v>5</v>
      </c>
      <c r="W198" s="42">
        <v>6</v>
      </c>
      <c r="X198" s="22" t="s">
        <v>255</v>
      </c>
      <c r="Y198" s="23" t="s">
        <v>221</v>
      </c>
      <c r="Z198" s="23">
        <v>37</v>
      </c>
    </row>
    <row r="199" spans="1:26" s="14" customFormat="1" ht="15.75" x14ac:dyDescent="0.25">
      <c r="A199" s="1"/>
      <c r="B199" t="s">
        <v>631</v>
      </c>
      <c r="C199" t="str">
        <f t="shared" ref="C199:C262" si="14">S199&amp;"."&amp;T199&amp;"."&amp;U199&amp;"."&amp;V199&amp;"."&amp;W199</f>
        <v>1.1.5.5.7</v>
      </c>
      <c r="D199" t="str">
        <f t="shared" ref="D199:D262" si="15">IF(S199&lt;&gt;"",IF(G199="","Keluar","Berubah"),"Bertambah")</f>
        <v>Berubah</v>
      </c>
      <c r="E199" t="str">
        <f t="shared" ref="E199:E262" si="16">G199&amp;"."&amp;H199&amp;"."&amp;I199&amp;"."&amp;J199&amp;"."&amp;K199&amp;"."&amp;L199&amp;"."&amp;M199</f>
        <v>1.3.1.01.02.04.008</v>
      </c>
      <c r="F199" s="1">
        <v>194</v>
      </c>
      <c r="G199" s="19">
        <v>1</v>
      </c>
      <c r="H199" s="19">
        <v>3</v>
      </c>
      <c r="I199" s="19">
        <v>1</v>
      </c>
      <c r="J199" s="20" t="s">
        <v>13</v>
      </c>
      <c r="K199" s="20" t="s">
        <v>21</v>
      </c>
      <c r="L199" s="20" t="s">
        <v>27</v>
      </c>
      <c r="M199" s="20" t="s">
        <v>37</v>
      </c>
      <c r="N199" s="21" t="s">
        <v>256</v>
      </c>
      <c r="O199" s="1" t="b">
        <f t="shared" si="13"/>
        <v>0</v>
      </c>
      <c r="P199" s="1"/>
      <c r="Q199" s="1"/>
      <c r="R199" s="1">
        <v>194</v>
      </c>
      <c r="S199" s="42">
        <v>1</v>
      </c>
      <c r="T199" s="42">
        <v>1</v>
      </c>
      <c r="U199" s="42">
        <v>5</v>
      </c>
      <c r="V199" s="42">
        <v>5</v>
      </c>
      <c r="W199" s="42">
        <v>7</v>
      </c>
      <c r="X199" s="22" t="s">
        <v>257</v>
      </c>
      <c r="Y199" s="23" t="s">
        <v>221</v>
      </c>
      <c r="Z199" s="23">
        <v>38</v>
      </c>
    </row>
    <row r="200" spans="1:26" s="14" customFormat="1" ht="15.75" x14ac:dyDescent="0.25">
      <c r="A200" s="1"/>
      <c r="B200" t="s">
        <v>632</v>
      </c>
      <c r="C200" t="str">
        <f t="shared" si="14"/>
        <v>1.1.5.5.8</v>
      </c>
      <c r="D200" t="str">
        <f t="shared" si="15"/>
        <v>Berubah</v>
      </c>
      <c r="E200" t="str">
        <f t="shared" si="16"/>
        <v>1.3.1.01.02.04.009</v>
      </c>
      <c r="F200" s="14">
        <v>195</v>
      </c>
      <c r="G200" s="24">
        <v>1</v>
      </c>
      <c r="H200" s="24">
        <v>3</v>
      </c>
      <c r="I200" s="24">
        <v>1</v>
      </c>
      <c r="J200" s="25" t="s">
        <v>13</v>
      </c>
      <c r="K200" s="25" t="s">
        <v>21</v>
      </c>
      <c r="L200" s="25" t="s">
        <v>27</v>
      </c>
      <c r="M200" s="25" t="s">
        <v>40</v>
      </c>
      <c r="N200" s="26" t="s">
        <v>258</v>
      </c>
      <c r="O200" s="14" t="b">
        <f t="shared" si="13"/>
        <v>0</v>
      </c>
      <c r="R200" s="14">
        <v>195</v>
      </c>
      <c r="S200" s="43">
        <v>1</v>
      </c>
      <c r="T200" s="43">
        <v>1</v>
      </c>
      <c r="U200" s="43">
        <v>5</v>
      </c>
      <c r="V200" s="43">
        <v>5</v>
      </c>
      <c r="W200" s="43">
        <v>8</v>
      </c>
      <c r="X200" s="27" t="s">
        <v>259</v>
      </c>
      <c r="Y200" s="29" t="s">
        <v>221</v>
      </c>
      <c r="Z200" s="29">
        <v>39</v>
      </c>
    </row>
    <row r="201" spans="1:26" s="1" customFormat="1" ht="15.75" x14ac:dyDescent="0.25">
      <c r="B201" t="s">
        <v>633</v>
      </c>
      <c r="C201" t="str">
        <f t="shared" si="14"/>
        <v>1.1.5.5.9</v>
      </c>
      <c r="D201" t="str">
        <f t="shared" si="15"/>
        <v>Berubah</v>
      </c>
      <c r="E201" t="str">
        <f t="shared" si="16"/>
        <v>1.3.1.01.02.04.010</v>
      </c>
      <c r="F201" s="1">
        <v>196</v>
      </c>
      <c r="G201" s="19">
        <v>1</v>
      </c>
      <c r="H201" s="19">
        <v>3</v>
      </c>
      <c r="I201" s="19">
        <v>1</v>
      </c>
      <c r="J201" s="20" t="s">
        <v>13</v>
      </c>
      <c r="K201" s="20" t="s">
        <v>21</v>
      </c>
      <c r="L201" s="20" t="s">
        <v>27</v>
      </c>
      <c r="M201" s="20" t="s">
        <v>43</v>
      </c>
      <c r="N201" s="21" t="s">
        <v>50</v>
      </c>
      <c r="O201" s="1" t="b">
        <f t="shared" ref="O201:O264" si="17">N201=X201</f>
        <v>0</v>
      </c>
      <c r="R201" s="1">
        <v>196</v>
      </c>
      <c r="S201" s="42">
        <v>1</v>
      </c>
      <c r="T201" s="42">
        <v>1</v>
      </c>
      <c r="U201" s="42">
        <v>5</v>
      </c>
      <c r="V201" s="42">
        <v>5</v>
      </c>
      <c r="W201" s="42">
        <v>9</v>
      </c>
      <c r="X201" s="22" t="s">
        <v>48</v>
      </c>
      <c r="Y201" s="23" t="s">
        <v>221</v>
      </c>
      <c r="Z201" s="23">
        <v>40</v>
      </c>
    </row>
    <row r="202" spans="1:26" s="14" customFormat="1" ht="15.75" x14ac:dyDescent="0.25">
      <c r="A202" s="1"/>
      <c r="B202" t="s">
        <v>634</v>
      </c>
      <c r="C202" t="str">
        <f t="shared" si="14"/>
        <v>1.1.8.0.0</v>
      </c>
      <c r="D202" t="str">
        <f t="shared" si="15"/>
        <v>Berubah</v>
      </c>
      <c r="E202" t="str">
        <f t="shared" si="16"/>
        <v>1.3.1.01.02.05.</v>
      </c>
      <c r="F202" s="1">
        <v>197</v>
      </c>
      <c r="G202" s="19">
        <v>1</v>
      </c>
      <c r="H202" s="19">
        <v>3</v>
      </c>
      <c r="I202" s="19">
        <v>1</v>
      </c>
      <c r="J202" s="20" t="s">
        <v>13</v>
      </c>
      <c r="K202" s="20" t="s">
        <v>21</v>
      </c>
      <c r="L202" s="20" t="s">
        <v>30</v>
      </c>
      <c r="M202" s="20"/>
      <c r="N202" s="21" t="s">
        <v>260</v>
      </c>
      <c r="O202" s="1" t="b">
        <f t="shared" si="17"/>
        <v>0</v>
      </c>
      <c r="P202" s="1"/>
      <c r="Q202" s="1"/>
      <c r="R202" s="1">
        <v>197</v>
      </c>
      <c r="S202" s="42">
        <v>1</v>
      </c>
      <c r="T202" s="42">
        <v>1</v>
      </c>
      <c r="U202" s="42">
        <v>8</v>
      </c>
      <c r="V202" s="42">
        <v>0</v>
      </c>
      <c r="W202" s="42">
        <v>0</v>
      </c>
      <c r="X202" s="22" t="s">
        <v>261</v>
      </c>
      <c r="Y202" s="23" t="s">
        <v>262</v>
      </c>
      <c r="Z202" s="23">
        <v>1</v>
      </c>
    </row>
    <row r="203" spans="1:26" s="14" customFormat="1" ht="15.75" x14ac:dyDescent="0.25">
      <c r="A203" s="1"/>
      <c r="B203" t="s">
        <v>635</v>
      </c>
      <c r="C203" t="str">
        <f t="shared" si="14"/>
        <v>1.1.8.1.0</v>
      </c>
      <c r="D203" t="str">
        <f t="shared" si="15"/>
        <v>Keluar</v>
      </c>
      <c r="E203" t="str">
        <f t="shared" si="16"/>
        <v>......</v>
      </c>
      <c r="F203" s="14">
        <v>198</v>
      </c>
      <c r="N203" s="36"/>
      <c r="O203" s="14" t="b">
        <f t="shared" si="17"/>
        <v>0</v>
      </c>
      <c r="R203" s="14">
        <v>198</v>
      </c>
      <c r="S203" s="43">
        <v>1</v>
      </c>
      <c r="T203" s="43">
        <v>1</v>
      </c>
      <c r="U203" s="43">
        <v>8</v>
      </c>
      <c r="V203" s="43">
        <v>1</v>
      </c>
      <c r="W203" s="43">
        <v>0</v>
      </c>
      <c r="X203" s="27" t="s">
        <v>263</v>
      </c>
      <c r="Y203" s="29" t="s">
        <v>262</v>
      </c>
      <c r="Z203" s="29">
        <v>2</v>
      </c>
    </row>
    <row r="204" spans="1:26" s="14" customFormat="1" ht="15.75" x14ac:dyDescent="0.25">
      <c r="A204" s="1"/>
      <c r="B204" t="s">
        <v>636</v>
      </c>
      <c r="C204" t="str">
        <f t="shared" si="14"/>
        <v>1.1.8.1.1</v>
      </c>
      <c r="D204" t="str">
        <f t="shared" si="15"/>
        <v>Berubah</v>
      </c>
      <c r="E204" t="str">
        <f t="shared" si="16"/>
        <v>1.3.1.01.02.05.001</v>
      </c>
      <c r="F204" s="1">
        <v>199</v>
      </c>
      <c r="G204" s="19">
        <v>1</v>
      </c>
      <c r="H204" s="19">
        <v>3</v>
      </c>
      <c r="I204" s="19">
        <v>1</v>
      </c>
      <c r="J204" s="20" t="s">
        <v>13</v>
      </c>
      <c r="K204" s="20" t="s">
        <v>21</v>
      </c>
      <c r="L204" s="20" t="s">
        <v>30</v>
      </c>
      <c r="M204" s="20" t="s">
        <v>17</v>
      </c>
      <c r="N204" s="21" t="s">
        <v>264</v>
      </c>
      <c r="O204" s="1" t="b">
        <f t="shared" si="17"/>
        <v>0</v>
      </c>
      <c r="P204" s="1"/>
      <c r="Q204" s="1"/>
      <c r="R204" s="1">
        <v>199</v>
      </c>
      <c r="S204" s="42">
        <v>1</v>
      </c>
      <c r="T204" s="42">
        <v>1</v>
      </c>
      <c r="U204" s="42">
        <v>8</v>
      </c>
      <c r="V204" s="42">
        <v>1</v>
      </c>
      <c r="W204" s="42">
        <v>1</v>
      </c>
      <c r="X204" s="22" t="s">
        <v>265</v>
      </c>
      <c r="Y204" s="23" t="s">
        <v>262</v>
      </c>
      <c r="Z204" s="23">
        <v>3</v>
      </c>
    </row>
    <row r="205" spans="1:26" s="14" customFormat="1" x14ac:dyDescent="0.25">
      <c r="A205" s="1"/>
      <c r="B205" t="s">
        <v>469</v>
      </c>
      <c r="C205" t="str">
        <f t="shared" si="14"/>
        <v>....</v>
      </c>
      <c r="D205" t="str">
        <f t="shared" si="15"/>
        <v>Bertambah</v>
      </c>
      <c r="E205" t="str">
        <f t="shared" si="16"/>
        <v>......</v>
      </c>
      <c r="F205">
        <v>200</v>
      </c>
      <c r="G205" s="9"/>
      <c r="H205" s="9"/>
      <c r="I205" s="9"/>
      <c r="J205" s="10"/>
      <c r="K205" s="10"/>
      <c r="L205" s="10"/>
      <c r="M205" s="10"/>
      <c r="N205" s="18"/>
      <c r="O205" t="b">
        <f t="shared" si="17"/>
        <v>1</v>
      </c>
      <c r="P205"/>
      <c r="Q205"/>
      <c r="R205">
        <v>200</v>
      </c>
      <c r="S205" s="12"/>
      <c r="T205" s="12"/>
      <c r="U205" s="12"/>
      <c r="V205" s="12"/>
      <c r="W205" s="12"/>
      <c r="X205" s="12"/>
      <c r="Y205" s="12"/>
      <c r="Z205" s="12"/>
    </row>
    <row r="206" spans="1:26" s="14" customFormat="1" x14ac:dyDescent="0.25">
      <c r="A206" s="1"/>
      <c r="B206" t="s">
        <v>469</v>
      </c>
      <c r="C206" t="str">
        <f t="shared" si="14"/>
        <v>....</v>
      </c>
      <c r="D206" t="str">
        <f t="shared" si="15"/>
        <v>Bertambah</v>
      </c>
      <c r="E206" t="str">
        <f t="shared" si="16"/>
        <v>......</v>
      </c>
      <c r="F206">
        <v>201</v>
      </c>
      <c r="G206" s="9"/>
      <c r="H206" s="9"/>
      <c r="I206" s="9"/>
      <c r="J206" s="10"/>
      <c r="K206" s="10"/>
      <c r="L206" s="10"/>
      <c r="M206" s="10"/>
      <c r="N206" s="18"/>
      <c r="O206" t="b">
        <f t="shared" si="17"/>
        <v>1</v>
      </c>
      <c r="P206"/>
      <c r="Q206"/>
      <c r="R206">
        <v>201</v>
      </c>
      <c r="S206" s="12"/>
      <c r="T206" s="12"/>
      <c r="U206" s="12"/>
      <c r="V206" s="12"/>
      <c r="W206" s="12"/>
      <c r="X206" s="12"/>
      <c r="Y206" s="12"/>
      <c r="Z206" s="12"/>
    </row>
    <row r="207" spans="1:26" s="14" customFormat="1" ht="15.75" x14ac:dyDescent="0.25">
      <c r="A207" s="1"/>
      <c r="B207" t="s">
        <v>637</v>
      </c>
      <c r="C207" t="str">
        <f t="shared" si="14"/>
        <v>1.1.8.2.2</v>
      </c>
      <c r="D207" t="str">
        <f t="shared" si="15"/>
        <v>Berubah</v>
      </c>
      <c r="E207" t="str">
        <f t="shared" si="16"/>
        <v>1.3.1.01.02.05.002</v>
      </c>
      <c r="F207" s="1">
        <v>202</v>
      </c>
      <c r="G207" s="19">
        <v>1</v>
      </c>
      <c r="H207" s="19">
        <v>3</v>
      </c>
      <c r="I207" s="19">
        <v>1</v>
      </c>
      <c r="J207" s="20" t="s">
        <v>13</v>
      </c>
      <c r="K207" s="20" t="s">
        <v>21</v>
      </c>
      <c r="L207" s="20" t="s">
        <v>30</v>
      </c>
      <c r="M207" s="20" t="s">
        <v>19</v>
      </c>
      <c r="N207" s="21" t="s">
        <v>266</v>
      </c>
      <c r="O207" s="1" t="b">
        <f t="shared" si="17"/>
        <v>0</v>
      </c>
      <c r="P207" s="1"/>
      <c r="Q207" s="1"/>
      <c r="R207" s="1">
        <v>202</v>
      </c>
      <c r="S207" s="42">
        <v>1</v>
      </c>
      <c r="T207" s="42">
        <v>1</v>
      </c>
      <c r="U207" s="42">
        <v>8</v>
      </c>
      <c r="V207" s="42">
        <v>2</v>
      </c>
      <c r="W207" s="42">
        <v>2</v>
      </c>
      <c r="X207" s="22" t="s">
        <v>267</v>
      </c>
      <c r="Y207" s="23" t="s">
        <v>262</v>
      </c>
      <c r="Z207" s="23">
        <v>11</v>
      </c>
    </row>
    <row r="208" spans="1:26" s="1" customFormat="1" x14ac:dyDescent="0.25">
      <c r="B208" t="s">
        <v>469</v>
      </c>
      <c r="C208" t="str">
        <f t="shared" si="14"/>
        <v>....</v>
      </c>
      <c r="D208" t="str">
        <f t="shared" si="15"/>
        <v>Bertambah</v>
      </c>
      <c r="E208" t="str">
        <f t="shared" si="16"/>
        <v>......</v>
      </c>
      <c r="F208">
        <v>203</v>
      </c>
      <c r="G208" s="9"/>
      <c r="H208" s="9"/>
      <c r="I208" s="9"/>
      <c r="J208" s="10"/>
      <c r="K208" s="10"/>
      <c r="L208" s="10"/>
      <c r="M208" s="10"/>
      <c r="N208" s="18"/>
      <c r="O208" t="b">
        <f t="shared" si="17"/>
        <v>1</v>
      </c>
      <c r="P208"/>
      <c r="Q208"/>
      <c r="R208">
        <v>203</v>
      </c>
      <c r="S208" s="12"/>
      <c r="T208" s="12"/>
      <c r="U208" s="12"/>
      <c r="V208" s="12"/>
      <c r="W208" s="12"/>
      <c r="X208" s="12"/>
      <c r="Y208" s="12"/>
      <c r="Z208" s="12"/>
    </row>
    <row r="209" spans="1:26" s="14" customFormat="1" ht="15.75" x14ac:dyDescent="0.25">
      <c r="A209" s="1"/>
      <c r="B209" t="s">
        <v>638</v>
      </c>
      <c r="C209" t="str">
        <f t="shared" si="14"/>
        <v>1.1.8.1.4</v>
      </c>
      <c r="D209" t="str">
        <f t="shared" si="15"/>
        <v>Berubah</v>
      </c>
      <c r="E209" t="str">
        <f t="shared" si="16"/>
        <v>1.3.1.01.02.05.003</v>
      </c>
      <c r="F209" s="1">
        <v>204</v>
      </c>
      <c r="G209" s="19">
        <v>1</v>
      </c>
      <c r="H209" s="19">
        <v>3</v>
      </c>
      <c r="I209" s="19">
        <v>1</v>
      </c>
      <c r="J209" s="20" t="s">
        <v>13</v>
      </c>
      <c r="K209" s="20" t="s">
        <v>21</v>
      </c>
      <c r="L209" s="20" t="s">
        <v>30</v>
      </c>
      <c r="M209" s="20" t="s">
        <v>22</v>
      </c>
      <c r="N209" s="21" t="s">
        <v>268</v>
      </c>
      <c r="O209" s="1" t="b">
        <f t="shared" si="17"/>
        <v>0</v>
      </c>
      <c r="P209" s="1"/>
      <c r="Q209" s="1"/>
      <c r="R209" s="1">
        <v>204</v>
      </c>
      <c r="S209" s="42">
        <v>1</v>
      </c>
      <c r="T209" s="42">
        <v>1</v>
      </c>
      <c r="U209" s="42">
        <v>8</v>
      </c>
      <c r="V209" s="42">
        <v>1</v>
      </c>
      <c r="W209" s="42">
        <v>4</v>
      </c>
      <c r="X209" s="22" t="s">
        <v>269</v>
      </c>
      <c r="Y209" s="23" t="s">
        <v>262</v>
      </c>
      <c r="Z209" s="23">
        <v>6</v>
      </c>
    </row>
    <row r="210" spans="1:26" s="14" customFormat="1" ht="15.75" x14ac:dyDescent="0.25">
      <c r="A210" s="1"/>
      <c r="B210" t="s">
        <v>639</v>
      </c>
      <c r="C210" t="str">
        <f t="shared" si="14"/>
        <v>1.1.8.1.5</v>
      </c>
      <c r="D210" t="str">
        <f t="shared" si="15"/>
        <v>Berubah</v>
      </c>
      <c r="E210" t="str">
        <f t="shared" si="16"/>
        <v>1.3.1.01.02.05.004</v>
      </c>
      <c r="F210" s="1">
        <v>205</v>
      </c>
      <c r="G210" s="19">
        <v>1</v>
      </c>
      <c r="H210" s="19">
        <v>3</v>
      </c>
      <c r="I210" s="19">
        <v>1</v>
      </c>
      <c r="J210" s="20" t="s">
        <v>13</v>
      </c>
      <c r="K210" s="20" t="s">
        <v>21</v>
      </c>
      <c r="L210" s="20" t="s">
        <v>30</v>
      </c>
      <c r="M210" s="20" t="s">
        <v>25</v>
      </c>
      <c r="N210" s="21" t="s">
        <v>270</v>
      </c>
      <c r="O210" s="1" t="b">
        <f t="shared" si="17"/>
        <v>0</v>
      </c>
      <c r="P210" s="1"/>
      <c r="Q210" s="1"/>
      <c r="R210" s="1">
        <v>205</v>
      </c>
      <c r="S210" s="42">
        <v>1</v>
      </c>
      <c r="T210" s="42">
        <v>1</v>
      </c>
      <c r="U210" s="42">
        <v>8</v>
      </c>
      <c r="V210" s="42">
        <v>1</v>
      </c>
      <c r="W210" s="42">
        <v>5</v>
      </c>
      <c r="X210" s="22" t="s">
        <v>271</v>
      </c>
      <c r="Y210" s="23" t="s">
        <v>262</v>
      </c>
      <c r="Z210" s="23">
        <v>7</v>
      </c>
    </row>
    <row r="211" spans="1:26" s="1" customFormat="1" ht="15.75" x14ac:dyDescent="0.25">
      <c r="B211" t="s">
        <v>640</v>
      </c>
      <c r="C211" t="str">
        <f t="shared" si="14"/>
        <v>1.1.8.1.6</v>
      </c>
      <c r="D211" t="str">
        <f t="shared" si="15"/>
        <v>Berubah</v>
      </c>
      <c r="E211" t="str">
        <f t="shared" si="16"/>
        <v>1.3.1.01.02.05.005</v>
      </c>
      <c r="F211" s="1">
        <v>206</v>
      </c>
      <c r="G211" s="19">
        <v>1</v>
      </c>
      <c r="H211" s="19">
        <v>3</v>
      </c>
      <c r="I211" s="19">
        <v>1</v>
      </c>
      <c r="J211" s="20" t="s">
        <v>13</v>
      </c>
      <c r="K211" s="20" t="s">
        <v>21</v>
      </c>
      <c r="L211" s="20" t="s">
        <v>30</v>
      </c>
      <c r="M211" s="20" t="s">
        <v>28</v>
      </c>
      <c r="N211" s="21" t="s">
        <v>50</v>
      </c>
      <c r="O211" s="1" t="b">
        <f t="shared" si="17"/>
        <v>0</v>
      </c>
      <c r="R211" s="1">
        <v>206</v>
      </c>
      <c r="S211" s="42">
        <v>1</v>
      </c>
      <c r="T211" s="42">
        <v>1</v>
      </c>
      <c r="U211" s="42">
        <v>8</v>
      </c>
      <c r="V211" s="42">
        <v>1</v>
      </c>
      <c r="W211" s="42">
        <v>6</v>
      </c>
      <c r="X211" s="22" t="s">
        <v>48</v>
      </c>
      <c r="Y211" s="23" t="s">
        <v>262</v>
      </c>
      <c r="Z211" s="23">
        <v>8</v>
      </c>
    </row>
    <row r="212" spans="1:26" s="14" customFormat="1" ht="15.75" x14ac:dyDescent="0.25">
      <c r="A212" s="1"/>
      <c r="B212" t="s">
        <v>641</v>
      </c>
      <c r="C212" t="str">
        <f t="shared" si="14"/>
        <v>1.1.9.0.0</v>
      </c>
      <c r="D212" t="str">
        <f t="shared" si="15"/>
        <v>Berubah</v>
      </c>
      <c r="E212" t="str">
        <f t="shared" si="16"/>
        <v>1.3.1.01.02.06.</v>
      </c>
      <c r="F212" s="1">
        <v>207</v>
      </c>
      <c r="G212" s="19">
        <v>1</v>
      </c>
      <c r="H212" s="19">
        <v>3</v>
      </c>
      <c r="I212" s="19">
        <v>1</v>
      </c>
      <c r="J212" s="20" t="s">
        <v>13</v>
      </c>
      <c r="K212" s="20" t="s">
        <v>21</v>
      </c>
      <c r="L212" s="20" t="s">
        <v>33</v>
      </c>
      <c r="M212" s="20"/>
      <c r="N212" s="21" t="s">
        <v>272</v>
      </c>
      <c r="O212" s="1" t="b">
        <f t="shared" si="17"/>
        <v>0</v>
      </c>
      <c r="P212" s="1"/>
      <c r="Q212" s="1"/>
      <c r="R212" s="1">
        <v>207</v>
      </c>
      <c r="S212" s="42">
        <v>1</v>
      </c>
      <c r="T212" s="42">
        <v>1</v>
      </c>
      <c r="U212" s="42">
        <v>9</v>
      </c>
      <c r="V212" s="42">
        <v>0</v>
      </c>
      <c r="W212" s="42">
        <v>0</v>
      </c>
      <c r="X212" s="22" t="s">
        <v>273</v>
      </c>
      <c r="Y212" s="23" t="s">
        <v>274</v>
      </c>
      <c r="Z212" s="23">
        <v>1</v>
      </c>
    </row>
    <row r="213" spans="1:26" s="1" customFormat="1" ht="15.75" x14ac:dyDescent="0.25">
      <c r="B213" t="s">
        <v>642</v>
      </c>
      <c r="C213" t="str">
        <f t="shared" si="14"/>
        <v>1.1.9.1.0</v>
      </c>
      <c r="D213" t="str">
        <f t="shared" si="15"/>
        <v>Berubah</v>
      </c>
      <c r="E213" t="str">
        <f t="shared" si="16"/>
        <v>1.3.1.01.02.06.001</v>
      </c>
      <c r="F213" s="1">
        <v>208</v>
      </c>
      <c r="G213" s="19">
        <v>1</v>
      </c>
      <c r="H213" s="19">
        <v>3</v>
      </c>
      <c r="I213" s="19">
        <v>1</v>
      </c>
      <c r="J213" s="20" t="s">
        <v>13</v>
      </c>
      <c r="K213" s="20" t="s">
        <v>21</v>
      </c>
      <c r="L213" s="20" t="s">
        <v>33</v>
      </c>
      <c r="M213" s="20" t="s">
        <v>17</v>
      </c>
      <c r="N213" s="21" t="s">
        <v>275</v>
      </c>
      <c r="O213" s="1" t="b">
        <f t="shared" si="17"/>
        <v>0</v>
      </c>
      <c r="R213" s="1">
        <v>208</v>
      </c>
      <c r="S213" s="42">
        <v>1</v>
      </c>
      <c r="T213" s="42">
        <v>1</v>
      </c>
      <c r="U213" s="42">
        <v>9</v>
      </c>
      <c r="V213" s="42">
        <v>1</v>
      </c>
      <c r="W213" s="42">
        <v>0</v>
      </c>
      <c r="X213" s="22" t="s">
        <v>276</v>
      </c>
      <c r="Y213" s="23" t="s">
        <v>274</v>
      </c>
      <c r="Z213" s="23">
        <v>2</v>
      </c>
    </row>
    <row r="214" spans="1:26" s="14" customFormat="1" ht="15.75" x14ac:dyDescent="0.25">
      <c r="A214" s="1"/>
      <c r="B214" t="s">
        <v>643</v>
      </c>
      <c r="C214" t="str">
        <f t="shared" si="14"/>
        <v>1.1.9.1.1</v>
      </c>
      <c r="D214" t="str">
        <f t="shared" si="15"/>
        <v>Keluar</v>
      </c>
      <c r="E214" t="str">
        <f t="shared" si="16"/>
        <v>......</v>
      </c>
      <c r="F214" s="14">
        <v>209</v>
      </c>
      <c r="G214" s="28"/>
      <c r="H214" s="28"/>
      <c r="I214" s="28"/>
      <c r="J214" s="28"/>
      <c r="K214" s="28"/>
      <c r="L214" s="28"/>
      <c r="M214" s="28"/>
      <c r="N214" s="30"/>
      <c r="O214" s="14" t="b">
        <f t="shared" si="17"/>
        <v>0</v>
      </c>
      <c r="R214" s="14">
        <v>209</v>
      </c>
      <c r="S214" s="43">
        <v>1</v>
      </c>
      <c r="T214" s="43">
        <v>1</v>
      </c>
      <c r="U214" s="43">
        <v>9</v>
      </c>
      <c r="V214" s="43">
        <v>1</v>
      </c>
      <c r="W214" s="43">
        <v>1</v>
      </c>
      <c r="X214" s="27" t="s">
        <v>276</v>
      </c>
      <c r="Y214" s="29" t="s">
        <v>274</v>
      </c>
      <c r="Z214" s="29">
        <v>3</v>
      </c>
    </row>
    <row r="215" spans="1:26" s="14" customFormat="1" ht="15.75" x14ac:dyDescent="0.25">
      <c r="A215" s="1"/>
      <c r="B215" t="s">
        <v>644</v>
      </c>
      <c r="C215" t="str">
        <f t="shared" si="14"/>
        <v>1.1.9.1.2</v>
      </c>
      <c r="D215" t="str">
        <f t="shared" si="15"/>
        <v>Keluar</v>
      </c>
      <c r="E215" t="str">
        <f t="shared" si="16"/>
        <v>......</v>
      </c>
      <c r="F215" s="14">
        <v>210</v>
      </c>
      <c r="G215" s="28"/>
      <c r="H215" s="28"/>
      <c r="I215" s="28"/>
      <c r="J215" s="28"/>
      <c r="K215" s="28"/>
      <c r="L215" s="28"/>
      <c r="M215" s="28"/>
      <c r="N215" s="30"/>
      <c r="O215" s="14" t="b">
        <f t="shared" si="17"/>
        <v>0</v>
      </c>
      <c r="R215" s="14">
        <v>210</v>
      </c>
      <c r="S215" s="43">
        <v>1</v>
      </c>
      <c r="T215" s="43">
        <v>1</v>
      </c>
      <c r="U215" s="43">
        <v>9</v>
      </c>
      <c r="V215" s="43">
        <v>1</v>
      </c>
      <c r="W215" s="43">
        <v>2</v>
      </c>
      <c r="X215" s="27" t="s">
        <v>48</v>
      </c>
      <c r="Y215" s="29" t="s">
        <v>274</v>
      </c>
      <c r="Z215" s="29">
        <v>4</v>
      </c>
    </row>
    <row r="216" spans="1:26" s="14" customFormat="1" ht="15.75" x14ac:dyDescent="0.25">
      <c r="A216" s="1"/>
      <c r="B216" t="s">
        <v>645</v>
      </c>
      <c r="C216" t="str">
        <f t="shared" si="14"/>
        <v>1.1.9.2.0</v>
      </c>
      <c r="D216" t="str">
        <f t="shared" si="15"/>
        <v>Berubah</v>
      </c>
      <c r="E216" t="str">
        <f t="shared" si="16"/>
        <v>1.3.1.01.02.06.002</v>
      </c>
      <c r="F216" s="1">
        <v>211</v>
      </c>
      <c r="G216" s="19">
        <v>1</v>
      </c>
      <c r="H216" s="19">
        <v>3</v>
      </c>
      <c r="I216" s="19">
        <v>1</v>
      </c>
      <c r="J216" s="20" t="s">
        <v>13</v>
      </c>
      <c r="K216" s="20" t="s">
        <v>21</v>
      </c>
      <c r="L216" s="20" t="s">
        <v>33</v>
      </c>
      <c r="M216" s="20" t="s">
        <v>19</v>
      </c>
      <c r="N216" s="21" t="s">
        <v>277</v>
      </c>
      <c r="O216" s="1" t="b">
        <f t="shared" si="17"/>
        <v>0</v>
      </c>
      <c r="P216" s="1"/>
      <c r="Q216" s="1"/>
      <c r="R216" s="1">
        <v>211</v>
      </c>
      <c r="S216" s="42">
        <v>1</v>
      </c>
      <c r="T216" s="42">
        <v>1</v>
      </c>
      <c r="U216" s="42">
        <v>9</v>
      </c>
      <c r="V216" s="42">
        <v>2</v>
      </c>
      <c r="W216" s="42">
        <v>0</v>
      </c>
      <c r="X216" s="22" t="s">
        <v>278</v>
      </c>
      <c r="Y216" s="23" t="s">
        <v>274</v>
      </c>
      <c r="Z216" s="23">
        <v>5</v>
      </c>
    </row>
    <row r="217" spans="1:26" s="1" customFormat="1" ht="15.75" x14ac:dyDescent="0.25">
      <c r="B217" t="s">
        <v>646</v>
      </c>
      <c r="C217" t="str">
        <f t="shared" si="14"/>
        <v>1.1.9.2.1</v>
      </c>
      <c r="D217" t="str">
        <f t="shared" si="15"/>
        <v>Berubah</v>
      </c>
      <c r="E217" t="str">
        <f t="shared" si="16"/>
        <v>1.3.1.01.02.06.003</v>
      </c>
      <c r="F217" s="1">
        <v>212</v>
      </c>
      <c r="G217" s="19">
        <v>1</v>
      </c>
      <c r="H217" s="19">
        <v>3</v>
      </c>
      <c r="I217" s="19">
        <v>1</v>
      </c>
      <c r="J217" s="20" t="s">
        <v>13</v>
      </c>
      <c r="K217" s="20" t="s">
        <v>21</v>
      </c>
      <c r="L217" s="20" t="s">
        <v>33</v>
      </c>
      <c r="M217" s="20" t="s">
        <v>22</v>
      </c>
      <c r="N217" s="21" t="s">
        <v>279</v>
      </c>
      <c r="O217" s="1" t="b">
        <f t="shared" si="17"/>
        <v>0</v>
      </c>
      <c r="R217" s="1">
        <v>212</v>
      </c>
      <c r="S217" s="42">
        <v>1</v>
      </c>
      <c r="T217" s="42">
        <v>1</v>
      </c>
      <c r="U217" s="42">
        <v>9</v>
      </c>
      <c r="V217" s="42">
        <v>2</v>
      </c>
      <c r="W217" s="42">
        <v>1</v>
      </c>
      <c r="X217" s="22" t="s">
        <v>280</v>
      </c>
      <c r="Y217" s="23" t="s">
        <v>274</v>
      </c>
      <c r="Z217" s="23">
        <v>6</v>
      </c>
    </row>
    <row r="218" spans="1:26" s="14" customFormat="1" ht="15.75" x14ac:dyDescent="0.25">
      <c r="A218" s="1"/>
      <c r="B218" t="s">
        <v>647</v>
      </c>
      <c r="C218" t="str">
        <f t="shared" si="14"/>
        <v>1.1.9.2.2</v>
      </c>
      <c r="D218" t="str">
        <f t="shared" si="15"/>
        <v>Keluar</v>
      </c>
      <c r="E218" t="str">
        <f t="shared" si="16"/>
        <v>......</v>
      </c>
      <c r="F218" s="14">
        <v>213</v>
      </c>
      <c r="G218" s="28"/>
      <c r="H218" s="28"/>
      <c r="I218" s="28"/>
      <c r="J218" s="28"/>
      <c r="K218" s="28"/>
      <c r="L218" s="28"/>
      <c r="M218" s="28"/>
      <c r="N218" s="30"/>
      <c r="O218" s="14" t="b">
        <f t="shared" si="17"/>
        <v>0</v>
      </c>
      <c r="R218" s="14">
        <v>213</v>
      </c>
      <c r="S218" s="43">
        <v>1</v>
      </c>
      <c r="T218" s="43">
        <v>1</v>
      </c>
      <c r="U218" s="43">
        <v>9</v>
      </c>
      <c r="V218" s="43">
        <v>2</v>
      </c>
      <c r="W218" s="43">
        <v>2</v>
      </c>
      <c r="X218" s="27" t="s">
        <v>278</v>
      </c>
      <c r="Y218" s="29" t="s">
        <v>274</v>
      </c>
      <c r="Z218" s="29">
        <v>7</v>
      </c>
    </row>
    <row r="219" spans="1:26" s="1" customFormat="1" ht="15.75" x14ac:dyDescent="0.25">
      <c r="B219" t="s">
        <v>648</v>
      </c>
      <c r="C219" t="str">
        <f t="shared" si="14"/>
        <v>1.1.9.2.3</v>
      </c>
      <c r="D219" t="str">
        <f t="shared" si="15"/>
        <v>Berubah</v>
      </c>
      <c r="E219" t="str">
        <f t="shared" si="16"/>
        <v>1.3.1.01.02.06.004</v>
      </c>
      <c r="F219" s="1">
        <v>214</v>
      </c>
      <c r="G219" s="19">
        <v>1</v>
      </c>
      <c r="H219" s="19">
        <v>3</v>
      </c>
      <c r="I219" s="19">
        <v>1</v>
      </c>
      <c r="J219" s="20" t="s">
        <v>13</v>
      </c>
      <c r="K219" s="20" t="s">
        <v>21</v>
      </c>
      <c r="L219" s="20" t="s">
        <v>33</v>
      </c>
      <c r="M219" s="20" t="s">
        <v>25</v>
      </c>
      <c r="N219" s="21" t="s">
        <v>50</v>
      </c>
      <c r="O219" s="1" t="b">
        <f t="shared" si="17"/>
        <v>0</v>
      </c>
      <c r="R219" s="1">
        <v>214</v>
      </c>
      <c r="S219" s="42">
        <v>1</v>
      </c>
      <c r="T219" s="42">
        <v>1</v>
      </c>
      <c r="U219" s="42">
        <v>9</v>
      </c>
      <c r="V219" s="42">
        <v>2</v>
      </c>
      <c r="W219" s="42">
        <v>3</v>
      </c>
      <c r="X219" s="22" t="s">
        <v>48</v>
      </c>
      <c r="Y219" s="23" t="s">
        <v>274</v>
      </c>
      <c r="Z219" s="23">
        <v>8</v>
      </c>
    </row>
    <row r="220" spans="1:26" s="1" customFormat="1" ht="15.75" x14ac:dyDescent="0.25">
      <c r="B220" t="s">
        <v>649</v>
      </c>
      <c r="C220" t="str">
        <f t="shared" si="14"/>
        <v>1.1.2.0.0</v>
      </c>
      <c r="D220" t="str">
        <f t="shared" si="15"/>
        <v>Berubah</v>
      </c>
      <c r="E220" t="str">
        <f t="shared" si="16"/>
        <v>1.3.1.01.02.07.</v>
      </c>
      <c r="F220">
        <v>215</v>
      </c>
      <c r="G220" s="9">
        <v>1</v>
      </c>
      <c r="H220" s="9">
        <v>3</v>
      </c>
      <c r="I220" s="9">
        <v>1</v>
      </c>
      <c r="J220" s="10" t="s">
        <v>13</v>
      </c>
      <c r="K220" s="10" t="s">
        <v>21</v>
      </c>
      <c r="L220" s="10" t="s">
        <v>36</v>
      </c>
      <c r="M220" s="10"/>
      <c r="N220" s="18" t="s">
        <v>281</v>
      </c>
      <c r="O220" t="b">
        <f t="shared" si="17"/>
        <v>1</v>
      </c>
      <c r="P220"/>
      <c r="Q220"/>
      <c r="R220">
        <v>215</v>
      </c>
      <c r="S220" s="41">
        <v>1</v>
      </c>
      <c r="T220" s="41">
        <v>1</v>
      </c>
      <c r="U220" s="41">
        <v>2</v>
      </c>
      <c r="V220" s="41">
        <v>0</v>
      </c>
      <c r="W220" s="41">
        <v>0</v>
      </c>
      <c r="X220" s="16" t="s">
        <v>282</v>
      </c>
      <c r="Y220" s="17" t="s">
        <v>283</v>
      </c>
      <c r="Z220" s="17">
        <v>1</v>
      </c>
    </row>
    <row r="221" spans="1:26" s="1" customFormat="1" ht="15.75" x14ac:dyDescent="0.25">
      <c r="B221" t="s">
        <v>650</v>
      </c>
      <c r="C221" t="str">
        <f t="shared" si="14"/>
        <v>1.1.2.1.0</v>
      </c>
      <c r="D221" t="str">
        <f t="shared" si="15"/>
        <v>Berubah</v>
      </c>
      <c r="E221" t="str">
        <f t="shared" si="16"/>
        <v>1.3.1.01.02.07.001</v>
      </c>
      <c r="F221" s="14">
        <v>216</v>
      </c>
      <c r="G221" s="24">
        <v>1</v>
      </c>
      <c r="H221" s="24">
        <v>3</v>
      </c>
      <c r="I221" s="24">
        <v>1</v>
      </c>
      <c r="J221" s="25" t="s">
        <v>13</v>
      </c>
      <c r="K221" s="25" t="s">
        <v>21</v>
      </c>
      <c r="L221" s="25" t="s">
        <v>36</v>
      </c>
      <c r="M221" s="25" t="s">
        <v>17</v>
      </c>
      <c r="N221" s="37" t="s">
        <v>284</v>
      </c>
      <c r="O221" s="14" t="b">
        <f t="shared" si="17"/>
        <v>0</v>
      </c>
      <c r="P221" s="14"/>
      <c r="Q221" s="14"/>
      <c r="R221" s="14">
        <v>216</v>
      </c>
      <c r="S221" s="43">
        <v>1</v>
      </c>
      <c r="T221" s="43">
        <v>1</v>
      </c>
      <c r="U221" s="43">
        <v>2</v>
      </c>
      <c r="V221" s="43">
        <v>1</v>
      </c>
      <c r="W221" s="43">
        <v>0</v>
      </c>
      <c r="X221" s="27" t="s">
        <v>285</v>
      </c>
      <c r="Y221" s="29" t="s">
        <v>283</v>
      </c>
      <c r="Z221" s="29">
        <v>2</v>
      </c>
    </row>
    <row r="222" spans="1:26" s="1" customFormat="1" ht="15.75" x14ac:dyDescent="0.25">
      <c r="B222" t="s">
        <v>651</v>
      </c>
      <c r="C222" t="str">
        <f t="shared" si="14"/>
        <v>1.1.2.1.1</v>
      </c>
      <c r="D222" t="str">
        <f t="shared" si="15"/>
        <v>Keluar</v>
      </c>
      <c r="E222" t="str">
        <f t="shared" si="16"/>
        <v>......</v>
      </c>
      <c r="F222" s="14">
        <v>217</v>
      </c>
      <c r="G222" s="24"/>
      <c r="H222" s="24"/>
      <c r="I222" s="24"/>
      <c r="J222" s="25"/>
      <c r="K222" s="25"/>
      <c r="L222" s="25"/>
      <c r="M222" s="25"/>
      <c r="N222" s="37"/>
      <c r="O222" s="14" t="b">
        <f t="shared" si="17"/>
        <v>0</v>
      </c>
      <c r="P222" s="14"/>
      <c r="Q222" s="14"/>
      <c r="R222" s="14">
        <v>217</v>
      </c>
      <c r="S222" s="43">
        <v>1</v>
      </c>
      <c r="T222" s="43">
        <v>1</v>
      </c>
      <c r="U222" s="43">
        <v>2</v>
      </c>
      <c r="V222" s="43">
        <v>1</v>
      </c>
      <c r="W222" s="43">
        <v>1</v>
      </c>
      <c r="X222" s="27" t="s">
        <v>286</v>
      </c>
      <c r="Y222" s="29" t="s">
        <v>283</v>
      </c>
      <c r="Z222" s="29">
        <v>3</v>
      </c>
    </row>
    <row r="223" spans="1:26" s="14" customFormat="1" ht="15.75" x14ac:dyDescent="0.25">
      <c r="A223" s="1"/>
      <c r="B223" t="s">
        <v>652</v>
      </c>
      <c r="C223" t="str">
        <f t="shared" si="14"/>
        <v>1.1.2.1.2</v>
      </c>
      <c r="D223" t="str">
        <f t="shared" si="15"/>
        <v>Keluar</v>
      </c>
      <c r="E223" t="str">
        <f t="shared" si="16"/>
        <v>......</v>
      </c>
      <c r="F223" s="14">
        <v>218</v>
      </c>
      <c r="G223" s="24"/>
      <c r="H223" s="24"/>
      <c r="I223" s="24"/>
      <c r="J223" s="25"/>
      <c r="K223" s="25"/>
      <c r="L223" s="25"/>
      <c r="M223" s="25"/>
      <c r="N223" s="37"/>
      <c r="O223" s="14" t="b">
        <f t="shared" si="17"/>
        <v>0</v>
      </c>
      <c r="R223" s="14">
        <v>218</v>
      </c>
      <c r="S223" s="43">
        <v>1</v>
      </c>
      <c r="T223" s="43">
        <v>1</v>
      </c>
      <c r="U223" s="43">
        <v>2</v>
      </c>
      <c r="V223" s="43">
        <v>1</v>
      </c>
      <c r="W223" s="43">
        <v>2</v>
      </c>
      <c r="X223" s="27" t="s">
        <v>287</v>
      </c>
      <c r="Y223" s="29" t="s">
        <v>283</v>
      </c>
      <c r="Z223" s="29">
        <v>4</v>
      </c>
    </row>
    <row r="224" spans="1:26" s="14" customFormat="1" ht="15.75" x14ac:dyDescent="0.25">
      <c r="A224" s="1"/>
      <c r="B224" t="s">
        <v>653</v>
      </c>
      <c r="C224" t="str">
        <f t="shared" si="14"/>
        <v>1.1.2.1.3</v>
      </c>
      <c r="D224" t="str">
        <f t="shared" si="15"/>
        <v>Keluar</v>
      </c>
      <c r="E224" t="str">
        <f t="shared" si="16"/>
        <v>......</v>
      </c>
      <c r="F224" s="14">
        <v>219</v>
      </c>
      <c r="G224" s="24"/>
      <c r="H224" s="24"/>
      <c r="I224" s="24"/>
      <c r="J224" s="25"/>
      <c r="K224" s="25"/>
      <c r="L224" s="25"/>
      <c r="M224" s="25"/>
      <c r="N224" s="37"/>
      <c r="O224" s="14" t="b">
        <f t="shared" si="17"/>
        <v>0</v>
      </c>
      <c r="R224" s="14">
        <v>219</v>
      </c>
      <c r="S224" s="43">
        <v>1</v>
      </c>
      <c r="T224" s="43">
        <v>1</v>
      </c>
      <c r="U224" s="43">
        <v>2</v>
      </c>
      <c r="V224" s="43">
        <v>1</v>
      </c>
      <c r="W224" s="43">
        <v>3</v>
      </c>
      <c r="X224" s="27" t="s">
        <v>288</v>
      </c>
      <c r="Y224" s="29" t="s">
        <v>283</v>
      </c>
      <c r="Z224" s="29">
        <v>5</v>
      </c>
    </row>
    <row r="225" spans="1:26" s="14" customFormat="1" ht="15.75" x14ac:dyDescent="0.25">
      <c r="A225" s="1"/>
      <c r="B225" t="s">
        <v>654</v>
      </c>
      <c r="C225" t="str">
        <f t="shared" si="14"/>
        <v>1.1.2.1.4</v>
      </c>
      <c r="D225" t="str">
        <f t="shared" si="15"/>
        <v>Keluar</v>
      </c>
      <c r="E225" t="str">
        <f t="shared" si="16"/>
        <v>......</v>
      </c>
      <c r="F225" s="14">
        <v>220</v>
      </c>
      <c r="G225" s="24"/>
      <c r="H225" s="24"/>
      <c r="I225" s="24"/>
      <c r="J225" s="25"/>
      <c r="K225" s="25"/>
      <c r="L225" s="25"/>
      <c r="M225" s="25"/>
      <c r="N225" s="37"/>
      <c r="O225" s="14" t="b">
        <f t="shared" si="17"/>
        <v>0</v>
      </c>
      <c r="R225" s="14">
        <v>220</v>
      </c>
      <c r="S225" s="43">
        <v>1</v>
      </c>
      <c r="T225" s="43">
        <v>1</v>
      </c>
      <c r="U225" s="43">
        <v>2</v>
      </c>
      <c r="V225" s="43">
        <v>1</v>
      </c>
      <c r="W225" s="43">
        <v>4</v>
      </c>
      <c r="X225" s="27" t="s">
        <v>289</v>
      </c>
      <c r="Y225" s="29" t="s">
        <v>283</v>
      </c>
      <c r="Z225" s="29">
        <v>6</v>
      </c>
    </row>
    <row r="226" spans="1:26" s="1" customFormat="1" ht="15.75" x14ac:dyDescent="0.25">
      <c r="B226" t="s">
        <v>655</v>
      </c>
      <c r="C226" t="str">
        <f t="shared" si="14"/>
        <v>1.1.2.1.5</v>
      </c>
      <c r="D226" t="str">
        <f t="shared" si="15"/>
        <v>Keluar</v>
      </c>
      <c r="E226" t="str">
        <f t="shared" si="16"/>
        <v>......</v>
      </c>
      <c r="F226" s="14">
        <v>221</v>
      </c>
      <c r="G226" s="24"/>
      <c r="H226" s="24"/>
      <c r="I226" s="24"/>
      <c r="J226" s="25"/>
      <c r="K226" s="25"/>
      <c r="L226" s="25"/>
      <c r="M226" s="25"/>
      <c r="N226" s="37"/>
      <c r="O226" s="14" t="b">
        <f t="shared" si="17"/>
        <v>0</v>
      </c>
      <c r="P226" s="14"/>
      <c r="Q226" s="14"/>
      <c r="R226" s="14">
        <v>221</v>
      </c>
      <c r="S226" s="43">
        <v>1</v>
      </c>
      <c r="T226" s="43">
        <v>1</v>
      </c>
      <c r="U226" s="43">
        <v>2</v>
      </c>
      <c r="V226" s="43">
        <v>1</v>
      </c>
      <c r="W226" s="43">
        <v>5</v>
      </c>
      <c r="X226" s="27" t="s">
        <v>290</v>
      </c>
      <c r="Y226" s="29" t="s">
        <v>283</v>
      </c>
      <c r="Z226" s="29">
        <v>7</v>
      </c>
    </row>
    <row r="227" spans="1:26" s="1" customFormat="1" ht="15.75" x14ac:dyDescent="0.25">
      <c r="B227" t="s">
        <v>656</v>
      </c>
      <c r="C227" t="str">
        <f t="shared" si="14"/>
        <v>1.1.2.1.6</v>
      </c>
      <c r="D227" t="str">
        <f t="shared" si="15"/>
        <v>Keluar</v>
      </c>
      <c r="E227" t="str">
        <f t="shared" si="16"/>
        <v>......</v>
      </c>
      <c r="F227" s="14">
        <v>222</v>
      </c>
      <c r="G227" s="24"/>
      <c r="H227" s="24"/>
      <c r="I227" s="24"/>
      <c r="J227" s="25"/>
      <c r="K227" s="25"/>
      <c r="L227" s="25"/>
      <c r="M227" s="25"/>
      <c r="N227" s="37"/>
      <c r="O227" s="14" t="b">
        <f t="shared" si="17"/>
        <v>0</v>
      </c>
      <c r="P227" s="14"/>
      <c r="Q227" s="14"/>
      <c r="R227" s="14">
        <v>222</v>
      </c>
      <c r="S227" s="43">
        <v>1</v>
      </c>
      <c r="T227" s="43">
        <v>1</v>
      </c>
      <c r="U227" s="43">
        <v>2</v>
      </c>
      <c r="V227" s="43">
        <v>1</v>
      </c>
      <c r="W227" s="43">
        <v>6</v>
      </c>
      <c r="X227" s="27" t="s">
        <v>291</v>
      </c>
      <c r="Y227" s="29" t="s">
        <v>283</v>
      </c>
      <c r="Z227" s="29">
        <v>8</v>
      </c>
    </row>
    <row r="228" spans="1:26" s="14" customFormat="1" ht="15.75" x14ac:dyDescent="0.25">
      <c r="A228" s="1"/>
      <c r="B228" t="s">
        <v>657</v>
      </c>
      <c r="C228" t="str">
        <f t="shared" si="14"/>
        <v>1.1.2.1.7</v>
      </c>
      <c r="D228" t="str">
        <f t="shared" si="15"/>
        <v>Keluar</v>
      </c>
      <c r="E228" t="str">
        <f t="shared" si="16"/>
        <v>......</v>
      </c>
      <c r="F228" s="14">
        <v>223</v>
      </c>
      <c r="G228" s="24"/>
      <c r="H228" s="24"/>
      <c r="I228" s="24"/>
      <c r="J228" s="25"/>
      <c r="K228" s="25"/>
      <c r="L228" s="25"/>
      <c r="M228" s="25"/>
      <c r="N228" s="37"/>
      <c r="O228" s="14" t="b">
        <f t="shared" si="17"/>
        <v>0</v>
      </c>
      <c r="R228" s="14">
        <v>223</v>
      </c>
      <c r="S228" s="43">
        <v>1</v>
      </c>
      <c r="T228" s="43">
        <v>1</v>
      </c>
      <c r="U228" s="43">
        <v>2</v>
      </c>
      <c r="V228" s="43">
        <v>1</v>
      </c>
      <c r="W228" s="43">
        <v>7</v>
      </c>
      <c r="X228" s="27" t="s">
        <v>48</v>
      </c>
      <c r="Y228" s="29" t="s">
        <v>283</v>
      </c>
      <c r="Z228" s="29">
        <v>9</v>
      </c>
    </row>
    <row r="229" spans="1:26" s="14" customFormat="1" ht="15.75" x14ac:dyDescent="0.25">
      <c r="A229" s="1"/>
      <c r="B229" t="s">
        <v>658</v>
      </c>
      <c r="C229" t="str">
        <f t="shared" si="14"/>
        <v>1.1.2.2.0</v>
      </c>
      <c r="D229" t="str">
        <f t="shared" si="15"/>
        <v>Keluar</v>
      </c>
      <c r="E229" t="str">
        <f t="shared" si="16"/>
        <v>......</v>
      </c>
      <c r="F229" s="14">
        <v>224</v>
      </c>
      <c r="G229" s="24"/>
      <c r="H229" s="24"/>
      <c r="I229" s="24"/>
      <c r="J229" s="25"/>
      <c r="K229" s="25"/>
      <c r="L229" s="25"/>
      <c r="M229" s="25"/>
      <c r="N229" s="37"/>
      <c r="O229" s="14" t="b">
        <f t="shared" si="17"/>
        <v>0</v>
      </c>
      <c r="R229" s="14">
        <v>224</v>
      </c>
      <c r="S229" s="43">
        <v>1</v>
      </c>
      <c r="T229" s="43">
        <v>1</v>
      </c>
      <c r="U229" s="43">
        <v>2</v>
      </c>
      <c r="V229" s="43">
        <v>2</v>
      </c>
      <c r="W229" s="43">
        <v>0</v>
      </c>
      <c r="X229" s="27" t="s">
        <v>292</v>
      </c>
      <c r="Y229" s="29" t="s">
        <v>283</v>
      </c>
      <c r="Z229" s="29">
        <v>10</v>
      </c>
    </row>
    <row r="230" spans="1:26" s="14" customFormat="1" ht="15.75" x14ac:dyDescent="0.25">
      <c r="A230" s="1"/>
      <c r="B230" t="s">
        <v>659</v>
      </c>
      <c r="C230" t="str">
        <f t="shared" si="14"/>
        <v>1.1.2.2.1</v>
      </c>
      <c r="D230" t="str">
        <f t="shared" si="15"/>
        <v>Keluar</v>
      </c>
      <c r="E230" t="str">
        <f t="shared" si="16"/>
        <v>......</v>
      </c>
      <c r="F230" s="14">
        <v>225</v>
      </c>
      <c r="G230" s="24"/>
      <c r="H230" s="24"/>
      <c r="I230" s="24"/>
      <c r="J230" s="25"/>
      <c r="K230" s="25"/>
      <c r="L230" s="25"/>
      <c r="M230" s="25"/>
      <c r="N230" s="37"/>
      <c r="O230" s="14" t="b">
        <f t="shared" si="17"/>
        <v>0</v>
      </c>
      <c r="R230" s="14">
        <v>225</v>
      </c>
      <c r="S230" s="43">
        <v>1</v>
      </c>
      <c r="T230" s="43">
        <v>1</v>
      </c>
      <c r="U230" s="43">
        <v>2</v>
      </c>
      <c r="V230" s="43">
        <v>2</v>
      </c>
      <c r="W230" s="43">
        <v>1</v>
      </c>
      <c r="X230" s="27" t="s">
        <v>293</v>
      </c>
      <c r="Y230" s="29" t="s">
        <v>283</v>
      </c>
      <c r="Z230" s="29">
        <v>11</v>
      </c>
    </row>
    <row r="231" spans="1:26" s="14" customFormat="1" ht="15.75" x14ac:dyDescent="0.25">
      <c r="A231" s="1"/>
      <c r="B231" t="s">
        <v>660</v>
      </c>
      <c r="C231" t="str">
        <f t="shared" si="14"/>
        <v>1.1.2.2.2</v>
      </c>
      <c r="D231" t="str">
        <f t="shared" si="15"/>
        <v>Keluar</v>
      </c>
      <c r="E231" t="str">
        <f t="shared" si="16"/>
        <v>......</v>
      </c>
      <c r="F231" s="14">
        <v>226</v>
      </c>
      <c r="G231" s="24"/>
      <c r="H231" s="24"/>
      <c r="I231" s="24"/>
      <c r="J231" s="25"/>
      <c r="K231" s="25"/>
      <c r="L231" s="25"/>
      <c r="M231" s="25"/>
      <c r="N231" s="37"/>
      <c r="O231" s="14" t="b">
        <f t="shared" si="17"/>
        <v>0</v>
      </c>
      <c r="R231" s="14">
        <v>226</v>
      </c>
      <c r="S231" s="43">
        <v>1</v>
      </c>
      <c r="T231" s="43">
        <v>1</v>
      </c>
      <c r="U231" s="43">
        <v>2</v>
      </c>
      <c r="V231" s="43">
        <v>2</v>
      </c>
      <c r="W231" s="43">
        <v>2</v>
      </c>
      <c r="X231" s="27" t="s">
        <v>294</v>
      </c>
      <c r="Y231" s="29" t="s">
        <v>283</v>
      </c>
      <c r="Z231" s="29">
        <v>12</v>
      </c>
    </row>
    <row r="232" spans="1:26" s="14" customFormat="1" ht="15.75" x14ac:dyDescent="0.25">
      <c r="A232" s="1"/>
      <c r="B232" t="s">
        <v>661</v>
      </c>
      <c r="C232" t="str">
        <f t="shared" si="14"/>
        <v>1.1.2.2.3</v>
      </c>
      <c r="D232" t="str">
        <f t="shared" si="15"/>
        <v>Keluar</v>
      </c>
      <c r="E232" t="str">
        <f t="shared" si="16"/>
        <v>......</v>
      </c>
      <c r="F232" s="14">
        <v>227</v>
      </c>
      <c r="G232" s="24"/>
      <c r="H232" s="24"/>
      <c r="I232" s="24"/>
      <c r="J232" s="25"/>
      <c r="K232" s="25"/>
      <c r="L232" s="25"/>
      <c r="M232" s="25"/>
      <c r="N232" s="37"/>
      <c r="O232" s="14" t="b">
        <f t="shared" si="17"/>
        <v>0</v>
      </c>
      <c r="R232" s="14">
        <v>227</v>
      </c>
      <c r="S232" s="43">
        <v>1</v>
      </c>
      <c r="T232" s="43">
        <v>1</v>
      </c>
      <c r="U232" s="43">
        <v>2</v>
      </c>
      <c r="V232" s="43">
        <v>2</v>
      </c>
      <c r="W232" s="43">
        <v>3</v>
      </c>
      <c r="X232" s="27" t="s">
        <v>295</v>
      </c>
      <c r="Y232" s="29" t="s">
        <v>283</v>
      </c>
      <c r="Z232" s="29">
        <v>13</v>
      </c>
    </row>
    <row r="233" spans="1:26" s="14" customFormat="1" ht="15.75" x14ac:dyDescent="0.25">
      <c r="A233" s="1"/>
      <c r="B233" t="s">
        <v>662</v>
      </c>
      <c r="C233" t="str">
        <f t="shared" si="14"/>
        <v>1.1.2.2.4</v>
      </c>
      <c r="D233" t="str">
        <f t="shared" si="15"/>
        <v>Keluar</v>
      </c>
      <c r="E233" t="str">
        <f t="shared" si="16"/>
        <v>......</v>
      </c>
      <c r="F233" s="14">
        <v>228</v>
      </c>
      <c r="G233" s="24"/>
      <c r="H233" s="24"/>
      <c r="I233" s="24"/>
      <c r="J233" s="25"/>
      <c r="K233" s="25"/>
      <c r="L233" s="25"/>
      <c r="M233" s="25"/>
      <c r="N233" s="37"/>
      <c r="O233" s="14" t="b">
        <f t="shared" si="17"/>
        <v>0</v>
      </c>
      <c r="R233" s="14">
        <v>228</v>
      </c>
      <c r="S233" s="43">
        <v>1</v>
      </c>
      <c r="T233" s="43">
        <v>1</v>
      </c>
      <c r="U233" s="43">
        <v>2</v>
      </c>
      <c r="V233" s="43">
        <v>2</v>
      </c>
      <c r="W233" s="43">
        <v>4</v>
      </c>
      <c r="X233" s="27" t="s">
        <v>296</v>
      </c>
      <c r="Y233" s="29" t="s">
        <v>283</v>
      </c>
      <c r="Z233" s="29">
        <v>14</v>
      </c>
    </row>
    <row r="234" spans="1:26" s="14" customFormat="1" ht="15.75" x14ac:dyDescent="0.25">
      <c r="A234" s="1"/>
      <c r="B234" t="s">
        <v>663</v>
      </c>
      <c r="C234" t="str">
        <f t="shared" si="14"/>
        <v>1.1.2.2.5</v>
      </c>
      <c r="D234" t="str">
        <f t="shared" si="15"/>
        <v>Keluar</v>
      </c>
      <c r="E234" t="str">
        <f t="shared" si="16"/>
        <v>......</v>
      </c>
      <c r="F234" s="14">
        <v>229</v>
      </c>
      <c r="G234" s="24"/>
      <c r="H234" s="24"/>
      <c r="I234" s="24"/>
      <c r="J234" s="25"/>
      <c r="K234" s="25"/>
      <c r="L234" s="25"/>
      <c r="M234" s="25"/>
      <c r="N234" s="37"/>
      <c r="O234" s="14" t="b">
        <f t="shared" si="17"/>
        <v>0</v>
      </c>
      <c r="R234" s="14">
        <v>229</v>
      </c>
      <c r="S234" s="43">
        <v>1</v>
      </c>
      <c r="T234" s="43">
        <v>1</v>
      </c>
      <c r="U234" s="43">
        <v>2</v>
      </c>
      <c r="V234" s="43">
        <v>2</v>
      </c>
      <c r="W234" s="43">
        <v>5</v>
      </c>
      <c r="X234" s="27" t="s">
        <v>297</v>
      </c>
      <c r="Y234" s="29" t="s">
        <v>283</v>
      </c>
      <c r="Z234" s="29">
        <v>15</v>
      </c>
    </row>
    <row r="235" spans="1:26" s="14" customFormat="1" ht="15.75" x14ac:dyDescent="0.25">
      <c r="A235" s="1"/>
      <c r="B235" t="s">
        <v>664</v>
      </c>
      <c r="C235" t="str">
        <f t="shared" si="14"/>
        <v>1.1.2.2.6</v>
      </c>
      <c r="D235" t="str">
        <f t="shared" si="15"/>
        <v>Keluar</v>
      </c>
      <c r="E235" t="str">
        <f t="shared" si="16"/>
        <v>......</v>
      </c>
      <c r="F235" s="14">
        <v>230</v>
      </c>
      <c r="G235" s="24"/>
      <c r="H235" s="24"/>
      <c r="I235" s="24"/>
      <c r="J235" s="25"/>
      <c r="K235" s="25"/>
      <c r="L235" s="25"/>
      <c r="M235" s="25"/>
      <c r="N235" s="37"/>
      <c r="O235" s="14" t="b">
        <f t="shared" si="17"/>
        <v>0</v>
      </c>
      <c r="R235" s="14">
        <v>230</v>
      </c>
      <c r="S235" s="43">
        <v>1</v>
      </c>
      <c r="T235" s="43">
        <v>1</v>
      </c>
      <c r="U235" s="43">
        <v>2</v>
      </c>
      <c r="V235" s="43">
        <v>2</v>
      </c>
      <c r="W235" s="43">
        <v>6</v>
      </c>
      <c r="X235" s="27" t="s">
        <v>298</v>
      </c>
      <c r="Y235" s="29" t="s">
        <v>283</v>
      </c>
      <c r="Z235" s="29">
        <v>16</v>
      </c>
    </row>
    <row r="236" spans="1:26" s="14" customFormat="1" ht="15.75" x14ac:dyDescent="0.25">
      <c r="A236" s="1"/>
      <c r="B236" t="s">
        <v>665</v>
      </c>
      <c r="C236" t="str">
        <f t="shared" si="14"/>
        <v>1.1.2.2.7</v>
      </c>
      <c r="D236" t="str">
        <f t="shared" si="15"/>
        <v>Keluar</v>
      </c>
      <c r="E236" t="str">
        <f t="shared" si="16"/>
        <v>......</v>
      </c>
      <c r="F236" s="14">
        <v>231</v>
      </c>
      <c r="G236" s="24"/>
      <c r="H236" s="24"/>
      <c r="I236" s="24"/>
      <c r="J236" s="25"/>
      <c r="K236" s="25"/>
      <c r="L236" s="25"/>
      <c r="M236" s="25"/>
      <c r="N236" s="37"/>
      <c r="O236" s="14" t="b">
        <f t="shared" si="17"/>
        <v>0</v>
      </c>
      <c r="R236" s="14">
        <v>231</v>
      </c>
      <c r="S236" s="43">
        <v>1</v>
      </c>
      <c r="T236" s="43">
        <v>1</v>
      </c>
      <c r="U236" s="43">
        <v>2</v>
      </c>
      <c r="V236" s="43">
        <v>2</v>
      </c>
      <c r="W236" s="43">
        <v>7</v>
      </c>
      <c r="X236" s="27" t="s">
        <v>299</v>
      </c>
      <c r="Y236" s="29" t="s">
        <v>283</v>
      </c>
      <c r="Z236" s="29">
        <v>17</v>
      </c>
    </row>
    <row r="237" spans="1:26" s="14" customFormat="1" ht="15.75" x14ac:dyDescent="0.25">
      <c r="A237" s="1"/>
      <c r="B237" t="s">
        <v>666</v>
      </c>
      <c r="C237" t="str">
        <f t="shared" si="14"/>
        <v>1.1.2.2.8</v>
      </c>
      <c r="D237" t="str">
        <f t="shared" si="15"/>
        <v>Keluar</v>
      </c>
      <c r="E237" t="str">
        <f t="shared" si="16"/>
        <v>......</v>
      </c>
      <c r="F237" s="14">
        <v>232</v>
      </c>
      <c r="G237" s="24"/>
      <c r="H237" s="24"/>
      <c r="I237" s="24"/>
      <c r="J237" s="25"/>
      <c r="K237" s="25"/>
      <c r="L237" s="25"/>
      <c r="M237" s="25"/>
      <c r="N237" s="37"/>
      <c r="O237" s="14" t="b">
        <f t="shared" si="17"/>
        <v>0</v>
      </c>
      <c r="R237" s="14">
        <v>232</v>
      </c>
      <c r="S237" s="43">
        <v>1</v>
      </c>
      <c r="T237" s="43">
        <v>1</v>
      </c>
      <c r="U237" s="43">
        <v>2</v>
      </c>
      <c r="V237" s="43">
        <v>2</v>
      </c>
      <c r="W237" s="43">
        <v>8</v>
      </c>
      <c r="X237" s="27" t="s">
        <v>300</v>
      </c>
      <c r="Y237" s="29" t="s">
        <v>283</v>
      </c>
      <c r="Z237" s="29">
        <v>18</v>
      </c>
    </row>
    <row r="238" spans="1:26" s="14" customFormat="1" ht="15.75" x14ac:dyDescent="0.25">
      <c r="A238" s="1"/>
      <c r="B238" t="s">
        <v>667</v>
      </c>
      <c r="C238" t="str">
        <f t="shared" si="14"/>
        <v>1.1.2.2.9</v>
      </c>
      <c r="D238" t="str">
        <f t="shared" si="15"/>
        <v>Keluar</v>
      </c>
      <c r="E238" t="str">
        <f t="shared" si="16"/>
        <v>......</v>
      </c>
      <c r="F238" s="14">
        <v>233</v>
      </c>
      <c r="G238" s="24"/>
      <c r="H238" s="24"/>
      <c r="I238" s="24"/>
      <c r="J238" s="25"/>
      <c r="K238" s="25"/>
      <c r="L238" s="25"/>
      <c r="M238" s="25"/>
      <c r="N238" s="37"/>
      <c r="O238" s="14" t="b">
        <f t="shared" si="17"/>
        <v>0</v>
      </c>
      <c r="R238" s="14">
        <v>233</v>
      </c>
      <c r="S238" s="43">
        <v>1</v>
      </c>
      <c r="T238" s="43">
        <v>1</v>
      </c>
      <c r="U238" s="43">
        <v>2</v>
      </c>
      <c r="V238" s="43">
        <v>2</v>
      </c>
      <c r="W238" s="43">
        <v>9</v>
      </c>
      <c r="X238" s="27" t="s">
        <v>301</v>
      </c>
      <c r="Y238" s="29" t="s">
        <v>283</v>
      </c>
      <c r="Z238" s="29">
        <v>19</v>
      </c>
    </row>
    <row r="239" spans="1:26" s="14" customFormat="1" ht="15.75" x14ac:dyDescent="0.25">
      <c r="A239" s="1"/>
      <c r="B239" t="s">
        <v>668</v>
      </c>
      <c r="C239" t="str">
        <f t="shared" si="14"/>
        <v>1.1.2.2.10</v>
      </c>
      <c r="D239" t="str">
        <f t="shared" si="15"/>
        <v>Keluar</v>
      </c>
      <c r="E239" t="str">
        <f t="shared" si="16"/>
        <v>......</v>
      </c>
      <c r="F239" s="14">
        <v>234</v>
      </c>
      <c r="G239" s="24"/>
      <c r="H239" s="24"/>
      <c r="I239" s="24"/>
      <c r="J239" s="25"/>
      <c r="K239" s="25"/>
      <c r="L239" s="25"/>
      <c r="M239" s="25"/>
      <c r="N239" s="37"/>
      <c r="O239" s="14" t="b">
        <f t="shared" si="17"/>
        <v>0</v>
      </c>
      <c r="R239" s="14">
        <v>234</v>
      </c>
      <c r="S239" s="43">
        <v>1</v>
      </c>
      <c r="T239" s="43">
        <v>1</v>
      </c>
      <c r="U239" s="43">
        <v>2</v>
      </c>
      <c r="V239" s="43">
        <v>2</v>
      </c>
      <c r="W239" s="43">
        <v>10</v>
      </c>
      <c r="X239" s="27" t="s">
        <v>48</v>
      </c>
      <c r="Y239" s="29" t="s">
        <v>283</v>
      </c>
      <c r="Z239" s="29">
        <v>20</v>
      </c>
    </row>
    <row r="240" spans="1:26" s="14" customFormat="1" ht="15.75" x14ac:dyDescent="0.25">
      <c r="A240" s="1"/>
      <c r="B240" t="s">
        <v>669</v>
      </c>
      <c r="C240" t="str">
        <f t="shared" si="14"/>
        <v>1.1.2.3.0</v>
      </c>
      <c r="D240" t="str">
        <f t="shared" si="15"/>
        <v>Keluar</v>
      </c>
      <c r="E240" t="str">
        <f t="shared" si="16"/>
        <v>......</v>
      </c>
      <c r="F240" s="14">
        <v>235</v>
      </c>
      <c r="G240" s="24"/>
      <c r="H240" s="24"/>
      <c r="I240" s="24"/>
      <c r="J240" s="25"/>
      <c r="K240" s="25"/>
      <c r="L240" s="25"/>
      <c r="M240" s="25"/>
      <c r="N240" s="37"/>
      <c r="O240" s="14" t="b">
        <f t="shared" si="17"/>
        <v>0</v>
      </c>
      <c r="R240" s="14">
        <v>235</v>
      </c>
      <c r="S240" s="43">
        <v>1</v>
      </c>
      <c r="T240" s="43">
        <v>1</v>
      </c>
      <c r="U240" s="43">
        <v>2</v>
      </c>
      <c r="V240" s="43">
        <v>3</v>
      </c>
      <c r="W240" s="43">
        <v>0</v>
      </c>
      <c r="X240" s="27" t="s">
        <v>302</v>
      </c>
      <c r="Y240" s="29" t="s">
        <v>283</v>
      </c>
      <c r="Z240" s="29">
        <v>21</v>
      </c>
    </row>
    <row r="241" spans="1:26" s="14" customFormat="1" ht="15.75" x14ac:dyDescent="0.25">
      <c r="A241" s="1"/>
      <c r="B241" t="s">
        <v>670</v>
      </c>
      <c r="C241" t="str">
        <f t="shared" si="14"/>
        <v>1.1.2.3.1</v>
      </c>
      <c r="D241" t="str">
        <f t="shared" si="15"/>
        <v>Keluar</v>
      </c>
      <c r="E241" t="str">
        <f t="shared" si="16"/>
        <v>......</v>
      </c>
      <c r="F241" s="14">
        <v>236</v>
      </c>
      <c r="G241" s="24"/>
      <c r="H241" s="24"/>
      <c r="I241" s="24"/>
      <c r="J241" s="25"/>
      <c r="K241" s="25"/>
      <c r="L241" s="25"/>
      <c r="M241" s="25"/>
      <c r="N241" s="37"/>
      <c r="O241" s="14" t="b">
        <f t="shared" si="17"/>
        <v>0</v>
      </c>
      <c r="R241" s="14">
        <v>236</v>
      </c>
      <c r="S241" s="43">
        <v>1</v>
      </c>
      <c r="T241" s="43">
        <v>1</v>
      </c>
      <c r="U241" s="43">
        <v>2</v>
      </c>
      <c r="V241" s="43">
        <v>3</v>
      </c>
      <c r="W241" s="43">
        <v>1</v>
      </c>
      <c r="X241" s="27" t="s">
        <v>286</v>
      </c>
      <c r="Y241" s="29" t="s">
        <v>283</v>
      </c>
      <c r="Z241" s="29">
        <v>22</v>
      </c>
    </row>
    <row r="242" spans="1:26" s="14" customFormat="1" ht="15.75" x14ac:dyDescent="0.25">
      <c r="A242" s="1"/>
      <c r="B242" t="s">
        <v>671</v>
      </c>
      <c r="C242" t="str">
        <f t="shared" si="14"/>
        <v>1.1.2.3.2</v>
      </c>
      <c r="D242" t="str">
        <f t="shared" si="15"/>
        <v>Keluar</v>
      </c>
      <c r="E242" t="str">
        <f t="shared" si="16"/>
        <v>......</v>
      </c>
      <c r="F242" s="14">
        <v>237</v>
      </c>
      <c r="G242" s="24"/>
      <c r="H242" s="24"/>
      <c r="I242" s="24"/>
      <c r="J242" s="25"/>
      <c r="K242" s="25"/>
      <c r="L242" s="25"/>
      <c r="M242" s="25"/>
      <c r="N242" s="37"/>
      <c r="O242" s="14" t="b">
        <f t="shared" si="17"/>
        <v>0</v>
      </c>
      <c r="R242" s="14">
        <v>237</v>
      </c>
      <c r="S242" s="43">
        <v>1</v>
      </c>
      <c r="T242" s="43">
        <v>1</v>
      </c>
      <c r="U242" s="43">
        <v>2</v>
      </c>
      <c r="V242" s="43">
        <v>3</v>
      </c>
      <c r="W242" s="43">
        <v>2</v>
      </c>
      <c r="X242" s="27" t="s">
        <v>303</v>
      </c>
      <c r="Y242" s="29" t="s">
        <v>283</v>
      </c>
      <c r="Z242" s="29">
        <v>23</v>
      </c>
    </row>
    <row r="243" spans="1:26" s="14" customFormat="1" ht="15.75" x14ac:dyDescent="0.25">
      <c r="A243" s="1"/>
      <c r="B243" t="s">
        <v>672</v>
      </c>
      <c r="C243" t="str">
        <f t="shared" si="14"/>
        <v>1.1.2.3.3</v>
      </c>
      <c r="D243" t="str">
        <f t="shared" si="15"/>
        <v>Keluar</v>
      </c>
      <c r="E243" t="str">
        <f t="shared" si="16"/>
        <v>......</v>
      </c>
      <c r="F243" s="14">
        <v>238</v>
      </c>
      <c r="G243" s="24"/>
      <c r="H243" s="24"/>
      <c r="I243" s="24"/>
      <c r="J243" s="25"/>
      <c r="K243" s="25"/>
      <c r="L243" s="25"/>
      <c r="M243" s="25"/>
      <c r="N243" s="37"/>
      <c r="O243" s="14" t="b">
        <f t="shared" si="17"/>
        <v>0</v>
      </c>
      <c r="R243" s="14">
        <v>238</v>
      </c>
      <c r="S243" s="43">
        <v>1</v>
      </c>
      <c r="T243" s="43">
        <v>1</v>
      </c>
      <c r="U243" s="43">
        <v>2</v>
      </c>
      <c r="V243" s="43">
        <v>3</v>
      </c>
      <c r="W243" s="43">
        <v>3</v>
      </c>
      <c r="X243" s="27" t="s">
        <v>296</v>
      </c>
      <c r="Y243" s="29" t="s">
        <v>283</v>
      </c>
      <c r="Z243" s="29">
        <v>24</v>
      </c>
    </row>
    <row r="244" spans="1:26" s="1" customFormat="1" ht="15.75" x14ac:dyDescent="0.25">
      <c r="B244" t="s">
        <v>673</v>
      </c>
      <c r="C244" t="str">
        <f t="shared" si="14"/>
        <v>1.1.2.3.4</v>
      </c>
      <c r="D244" t="str">
        <f t="shared" si="15"/>
        <v>Keluar</v>
      </c>
      <c r="E244" t="str">
        <f t="shared" si="16"/>
        <v>......</v>
      </c>
      <c r="F244" s="14">
        <v>239</v>
      </c>
      <c r="G244" s="24"/>
      <c r="H244" s="24"/>
      <c r="I244" s="24"/>
      <c r="J244" s="25"/>
      <c r="K244" s="25"/>
      <c r="L244" s="25"/>
      <c r="M244" s="25"/>
      <c r="N244" s="37"/>
      <c r="O244" s="14" t="b">
        <f t="shared" si="17"/>
        <v>0</v>
      </c>
      <c r="P244" s="14"/>
      <c r="Q244" s="14"/>
      <c r="R244" s="14">
        <v>239</v>
      </c>
      <c r="S244" s="43">
        <v>1</v>
      </c>
      <c r="T244" s="43">
        <v>1</v>
      </c>
      <c r="U244" s="43">
        <v>2</v>
      </c>
      <c r="V244" s="43">
        <v>3</v>
      </c>
      <c r="W244" s="43">
        <v>4</v>
      </c>
      <c r="X244" s="27" t="s">
        <v>297</v>
      </c>
      <c r="Y244" s="29" t="s">
        <v>283</v>
      </c>
      <c r="Z244" s="29">
        <v>25</v>
      </c>
    </row>
    <row r="245" spans="1:26" s="1" customFormat="1" ht="15.75" x14ac:dyDescent="0.25">
      <c r="B245" t="s">
        <v>674</v>
      </c>
      <c r="C245" t="str">
        <f t="shared" si="14"/>
        <v>1.1.2.3.5</v>
      </c>
      <c r="D245" t="str">
        <f t="shared" si="15"/>
        <v>Keluar</v>
      </c>
      <c r="E245" t="str">
        <f t="shared" si="16"/>
        <v>......</v>
      </c>
      <c r="F245" s="14">
        <v>240</v>
      </c>
      <c r="G245" s="24"/>
      <c r="H245" s="24"/>
      <c r="I245" s="24"/>
      <c r="J245" s="25"/>
      <c r="K245" s="25"/>
      <c r="L245" s="25"/>
      <c r="M245" s="25"/>
      <c r="N245" s="37"/>
      <c r="O245" s="14" t="b">
        <f t="shared" si="17"/>
        <v>0</v>
      </c>
      <c r="P245" s="14"/>
      <c r="Q245" s="14"/>
      <c r="R245" s="14">
        <v>240</v>
      </c>
      <c r="S245" s="43">
        <v>1</v>
      </c>
      <c r="T245" s="43">
        <v>1</v>
      </c>
      <c r="U245" s="43">
        <v>2</v>
      </c>
      <c r="V245" s="43">
        <v>3</v>
      </c>
      <c r="W245" s="43">
        <v>5</v>
      </c>
      <c r="X245" s="27" t="s">
        <v>298</v>
      </c>
      <c r="Y245" s="29" t="s">
        <v>283</v>
      </c>
      <c r="Z245" s="29">
        <v>26</v>
      </c>
    </row>
    <row r="246" spans="1:26" s="14" customFormat="1" ht="15.75" x14ac:dyDescent="0.25">
      <c r="A246" s="1"/>
      <c r="B246" t="s">
        <v>675</v>
      </c>
      <c r="C246" t="str">
        <f t="shared" si="14"/>
        <v>1.1.2.3.6</v>
      </c>
      <c r="D246" t="str">
        <f t="shared" si="15"/>
        <v>Keluar</v>
      </c>
      <c r="E246" t="str">
        <f t="shared" si="16"/>
        <v>......</v>
      </c>
      <c r="F246" s="14">
        <v>241</v>
      </c>
      <c r="G246" s="24"/>
      <c r="H246" s="24"/>
      <c r="I246" s="24"/>
      <c r="J246" s="25"/>
      <c r="K246" s="25"/>
      <c r="L246" s="25"/>
      <c r="M246" s="25"/>
      <c r="N246" s="37"/>
      <c r="O246" s="14" t="b">
        <f t="shared" si="17"/>
        <v>0</v>
      </c>
      <c r="R246" s="14">
        <v>241</v>
      </c>
      <c r="S246" s="43">
        <v>1</v>
      </c>
      <c r="T246" s="43">
        <v>1</v>
      </c>
      <c r="U246" s="43">
        <v>2</v>
      </c>
      <c r="V246" s="43">
        <v>3</v>
      </c>
      <c r="W246" s="43">
        <v>6</v>
      </c>
      <c r="X246" s="27" t="s">
        <v>299</v>
      </c>
      <c r="Y246" s="29" t="s">
        <v>283</v>
      </c>
      <c r="Z246" s="29">
        <v>27</v>
      </c>
    </row>
    <row r="247" spans="1:26" s="1" customFormat="1" ht="15.75" x14ac:dyDescent="0.25">
      <c r="B247" t="s">
        <v>676</v>
      </c>
      <c r="C247" t="str">
        <f t="shared" si="14"/>
        <v>1.1.2.3.7</v>
      </c>
      <c r="D247" t="str">
        <f t="shared" si="15"/>
        <v>Keluar</v>
      </c>
      <c r="E247" t="str">
        <f t="shared" si="16"/>
        <v>......</v>
      </c>
      <c r="F247" s="14">
        <v>242</v>
      </c>
      <c r="G247" s="24"/>
      <c r="H247" s="24"/>
      <c r="I247" s="24"/>
      <c r="J247" s="25"/>
      <c r="K247" s="25"/>
      <c r="L247" s="25"/>
      <c r="M247" s="25"/>
      <c r="N247" s="37"/>
      <c r="O247" s="14" t="b">
        <f t="shared" si="17"/>
        <v>0</v>
      </c>
      <c r="P247" s="14"/>
      <c r="Q247" s="14"/>
      <c r="R247" s="14">
        <v>242</v>
      </c>
      <c r="S247" s="43">
        <v>1</v>
      </c>
      <c r="T247" s="43">
        <v>1</v>
      </c>
      <c r="U247" s="43">
        <v>2</v>
      </c>
      <c r="V247" s="43">
        <v>3</v>
      </c>
      <c r="W247" s="43">
        <v>7</v>
      </c>
      <c r="X247" s="27" t="s">
        <v>300</v>
      </c>
      <c r="Y247" s="29" t="s">
        <v>283</v>
      </c>
      <c r="Z247" s="29">
        <v>28</v>
      </c>
    </row>
    <row r="248" spans="1:26" s="1" customFormat="1" ht="15.75" x14ac:dyDescent="0.25">
      <c r="B248" t="s">
        <v>677</v>
      </c>
      <c r="C248" t="str">
        <f t="shared" si="14"/>
        <v>1.1.2.3.8</v>
      </c>
      <c r="D248" t="str">
        <f t="shared" si="15"/>
        <v>Keluar</v>
      </c>
      <c r="E248" t="str">
        <f t="shared" si="16"/>
        <v>......</v>
      </c>
      <c r="F248" s="14">
        <v>243</v>
      </c>
      <c r="G248" s="24"/>
      <c r="H248" s="24"/>
      <c r="I248" s="24"/>
      <c r="J248" s="25"/>
      <c r="K248" s="25"/>
      <c r="L248" s="25"/>
      <c r="M248" s="25"/>
      <c r="N248" s="37"/>
      <c r="O248" s="14" t="b">
        <f t="shared" si="17"/>
        <v>0</v>
      </c>
      <c r="P248" s="14"/>
      <c r="Q248" s="14"/>
      <c r="R248" s="14">
        <v>243</v>
      </c>
      <c r="S248" s="43">
        <v>1</v>
      </c>
      <c r="T248" s="43">
        <v>1</v>
      </c>
      <c r="U248" s="43">
        <v>2</v>
      </c>
      <c r="V248" s="43">
        <v>3</v>
      </c>
      <c r="W248" s="43">
        <v>8</v>
      </c>
      <c r="X248" s="27" t="s">
        <v>301</v>
      </c>
      <c r="Y248" s="29" t="s">
        <v>283</v>
      </c>
      <c r="Z248" s="29">
        <v>29</v>
      </c>
    </row>
    <row r="249" spans="1:26" s="14" customFormat="1" ht="15.75" x14ac:dyDescent="0.25">
      <c r="A249" s="1"/>
      <c r="B249" t="s">
        <v>678</v>
      </c>
      <c r="C249" t="str">
        <f t="shared" si="14"/>
        <v>1.1.2.3.9</v>
      </c>
      <c r="D249" t="str">
        <f t="shared" si="15"/>
        <v>Keluar</v>
      </c>
      <c r="E249" t="str">
        <f t="shared" si="16"/>
        <v>......</v>
      </c>
      <c r="F249" s="14">
        <v>244</v>
      </c>
      <c r="G249" s="24"/>
      <c r="H249" s="24"/>
      <c r="I249" s="24"/>
      <c r="J249" s="25"/>
      <c r="K249" s="25"/>
      <c r="L249" s="25"/>
      <c r="M249" s="25"/>
      <c r="N249" s="37"/>
      <c r="O249" s="14" t="b">
        <f t="shared" si="17"/>
        <v>0</v>
      </c>
      <c r="R249" s="14">
        <v>244</v>
      </c>
      <c r="S249" s="43">
        <v>1</v>
      </c>
      <c r="T249" s="43">
        <v>1</v>
      </c>
      <c r="U249" s="43">
        <v>2</v>
      </c>
      <c r="V249" s="43">
        <v>3</v>
      </c>
      <c r="W249" s="43">
        <v>9</v>
      </c>
      <c r="X249" s="27" t="s">
        <v>304</v>
      </c>
      <c r="Y249" s="29" t="s">
        <v>283</v>
      </c>
      <c r="Z249" s="29">
        <v>30</v>
      </c>
    </row>
    <row r="250" spans="1:26" s="14" customFormat="1" ht="15.75" x14ac:dyDescent="0.25">
      <c r="A250" s="1"/>
      <c r="B250" t="s">
        <v>679</v>
      </c>
      <c r="C250" t="str">
        <f t="shared" si="14"/>
        <v>1.1.2.3.10</v>
      </c>
      <c r="D250" t="str">
        <f t="shared" si="15"/>
        <v>Keluar</v>
      </c>
      <c r="E250" t="str">
        <f t="shared" si="16"/>
        <v>......</v>
      </c>
      <c r="F250" s="14">
        <v>245</v>
      </c>
      <c r="G250" s="24"/>
      <c r="H250" s="24"/>
      <c r="I250" s="24"/>
      <c r="J250" s="25"/>
      <c r="K250" s="25"/>
      <c r="L250" s="25"/>
      <c r="M250" s="25"/>
      <c r="N250" s="37"/>
      <c r="O250" s="14" t="b">
        <f t="shared" si="17"/>
        <v>0</v>
      </c>
      <c r="R250" s="14">
        <v>245</v>
      </c>
      <c r="S250" s="43">
        <v>1</v>
      </c>
      <c r="T250" s="43">
        <v>1</v>
      </c>
      <c r="U250" s="43">
        <v>2</v>
      </c>
      <c r="V250" s="43">
        <v>3</v>
      </c>
      <c r="W250" s="43">
        <v>10</v>
      </c>
      <c r="X250" s="27" t="s">
        <v>305</v>
      </c>
      <c r="Y250" s="29" t="s">
        <v>283</v>
      </c>
      <c r="Z250" s="29">
        <v>31</v>
      </c>
    </row>
    <row r="251" spans="1:26" s="14" customFormat="1" ht="15.75" x14ac:dyDescent="0.25">
      <c r="A251" s="1"/>
      <c r="B251" t="s">
        <v>680</v>
      </c>
      <c r="C251" t="str">
        <f t="shared" si="14"/>
        <v>1.1.2.3.11</v>
      </c>
      <c r="D251" t="str">
        <f t="shared" si="15"/>
        <v>Keluar</v>
      </c>
      <c r="E251" t="str">
        <f t="shared" si="16"/>
        <v>......</v>
      </c>
      <c r="F251" s="14">
        <v>246</v>
      </c>
      <c r="G251" s="24"/>
      <c r="H251" s="24"/>
      <c r="I251" s="24"/>
      <c r="J251" s="25"/>
      <c r="K251" s="25"/>
      <c r="L251" s="25"/>
      <c r="M251" s="25"/>
      <c r="N251" s="37"/>
      <c r="O251" s="14" t="b">
        <f t="shared" si="17"/>
        <v>0</v>
      </c>
      <c r="R251" s="14">
        <v>246</v>
      </c>
      <c r="S251" s="43">
        <v>1</v>
      </c>
      <c r="T251" s="43">
        <v>1</v>
      </c>
      <c r="U251" s="43">
        <v>2</v>
      </c>
      <c r="V251" s="43">
        <v>3</v>
      </c>
      <c r="W251" s="43">
        <v>11</v>
      </c>
      <c r="X251" s="27" t="s">
        <v>306</v>
      </c>
      <c r="Y251" s="29" t="s">
        <v>283</v>
      </c>
      <c r="Z251" s="29">
        <v>32</v>
      </c>
    </row>
    <row r="252" spans="1:26" s="14" customFormat="1" ht="15.75" x14ac:dyDescent="0.25">
      <c r="A252" s="1"/>
      <c r="B252" t="s">
        <v>681</v>
      </c>
      <c r="C252" t="str">
        <f t="shared" si="14"/>
        <v>1.1.2.3.12</v>
      </c>
      <c r="D252" t="str">
        <f t="shared" si="15"/>
        <v>Keluar</v>
      </c>
      <c r="E252" t="str">
        <f t="shared" si="16"/>
        <v>......</v>
      </c>
      <c r="F252" s="14">
        <v>247</v>
      </c>
      <c r="G252" s="24"/>
      <c r="H252" s="24"/>
      <c r="I252" s="24"/>
      <c r="J252" s="25"/>
      <c r="K252" s="25"/>
      <c r="L252" s="25"/>
      <c r="M252" s="25"/>
      <c r="N252" s="37"/>
      <c r="O252" s="14" t="b">
        <f t="shared" si="17"/>
        <v>0</v>
      </c>
      <c r="R252" s="14">
        <v>247</v>
      </c>
      <c r="S252" s="43">
        <v>1</v>
      </c>
      <c r="T252" s="43">
        <v>1</v>
      </c>
      <c r="U252" s="43">
        <v>2</v>
      </c>
      <c r="V252" s="43">
        <v>3</v>
      </c>
      <c r="W252" s="43">
        <v>12</v>
      </c>
      <c r="X252" s="27" t="s">
        <v>307</v>
      </c>
      <c r="Y252" s="29" t="s">
        <v>283</v>
      </c>
      <c r="Z252" s="29">
        <v>33</v>
      </c>
    </row>
    <row r="253" spans="1:26" s="1" customFormat="1" ht="15.75" x14ac:dyDescent="0.25">
      <c r="B253" t="s">
        <v>682</v>
      </c>
      <c r="C253" t="str">
        <f t="shared" si="14"/>
        <v>1.1.2.3.13</v>
      </c>
      <c r="D253" t="str">
        <f t="shared" si="15"/>
        <v>Berubah</v>
      </c>
      <c r="E253" t="str">
        <f t="shared" si="16"/>
        <v>1.3.1.01.02.07.002</v>
      </c>
      <c r="F253" s="1">
        <v>248</v>
      </c>
      <c r="G253" s="19">
        <v>1</v>
      </c>
      <c r="H253" s="19">
        <v>3</v>
      </c>
      <c r="I253" s="19">
        <v>1</v>
      </c>
      <c r="J253" s="20" t="s">
        <v>13</v>
      </c>
      <c r="K253" s="20" t="s">
        <v>21</v>
      </c>
      <c r="L253" s="20" t="s">
        <v>36</v>
      </c>
      <c r="M253" s="20" t="s">
        <v>19</v>
      </c>
      <c r="N253" s="21" t="s">
        <v>50</v>
      </c>
      <c r="O253" s="1" t="b">
        <f t="shared" si="17"/>
        <v>0</v>
      </c>
      <c r="R253" s="1">
        <v>248</v>
      </c>
      <c r="S253" s="42">
        <v>1</v>
      </c>
      <c r="T253" s="42">
        <v>1</v>
      </c>
      <c r="U253" s="42">
        <v>2</v>
      </c>
      <c r="V253" s="42">
        <v>3</v>
      </c>
      <c r="W253" s="42">
        <v>13</v>
      </c>
      <c r="X253" s="22" t="s">
        <v>48</v>
      </c>
      <c r="Y253" s="23" t="s">
        <v>283</v>
      </c>
      <c r="Z253" s="23">
        <v>34</v>
      </c>
    </row>
    <row r="254" spans="1:26" s="14" customFormat="1" ht="15.75" x14ac:dyDescent="0.25">
      <c r="A254" s="1"/>
      <c r="B254" t="s">
        <v>683</v>
      </c>
      <c r="C254" t="str">
        <f t="shared" si="14"/>
        <v>1.1.12.0.0</v>
      </c>
      <c r="D254" t="str">
        <f t="shared" si="15"/>
        <v>Berubah</v>
      </c>
      <c r="E254" t="str">
        <f t="shared" si="16"/>
        <v>1.3.1.01.02.08.</v>
      </c>
      <c r="F254">
        <v>249</v>
      </c>
      <c r="G254" s="9">
        <v>1</v>
      </c>
      <c r="H254" s="9">
        <v>3</v>
      </c>
      <c r="I254" s="9">
        <v>1</v>
      </c>
      <c r="J254" s="10" t="s">
        <v>13</v>
      </c>
      <c r="K254" s="10" t="s">
        <v>21</v>
      </c>
      <c r="L254" s="10" t="s">
        <v>39</v>
      </c>
      <c r="M254" s="10"/>
      <c r="N254" s="38" t="s">
        <v>308</v>
      </c>
      <c r="O254" t="b">
        <f t="shared" si="17"/>
        <v>1</v>
      </c>
      <c r="P254"/>
      <c r="Q254"/>
      <c r="R254">
        <v>249</v>
      </c>
      <c r="S254" s="41">
        <v>1</v>
      </c>
      <c r="T254" s="41">
        <v>1</v>
      </c>
      <c r="U254" s="41">
        <v>12</v>
      </c>
      <c r="V254" s="41">
        <v>0</v>
      </c>
      <c r="W254" s="41">
        <v>0</v>
      </c>
      <c r="X254" s="16" t="s">
        <v>309</v>
      </c>
      <c r="Y254" s="17" t="s">
        <v>310</v>
      </c>
      <c r="Z254" s="17">
        <v>1</v>
      </c>
    </row>
    <row r="255" spans="1:26" s="14" customFormat="1" ht="15.75" x14ac:dyDescent="0.25">
      <c r="A255" s="1"/>
      <c r="B255" t="s">
        <v>684</v>
      </c>
      <c r="C255" t="str">
        <f t="shared" si="14"/>
        <v>1.1.12.1.0</v>
      </c>
      <c r="D255" t="str">
        <f t="shared" si="15"/>
        <v>Keluar</v>
      </c>
      <c r="E255" t="str">
        <f t="shared" si="16"/>
        <v>......</v>
      </c>
      <c r="F255" s="14">
        <v>250</v>
      </c>
      <c r="G255" s="24"/>
      <c r="H255" s="24"/>
      <c r="I255" s="24"/>
      <c r="J255" s="25"/>
      <c r="K255" s="25"/>
      <c r="L255" s="25"/>
      <c r="M255" s="25"/>
      <c r="N255" s="39"/>
      <c r="O255" s="14" t="b">
        <f t="shared" si="17"/>
        <v>0</v>
      </c>
      <c r="R255" s="14">
        <v>250</v>
      </c>
      <c r="S255" s="43">
        <v>1</v>
      </c>
      <c r="T255" s="43">
        <v>1</v>
      </c>
      <c r="U255" s="43">
        <v>12</v>
      </c>
      <c r="V255" s="43">
        <v>1</v>
      </c>
      <c r="W255" s="43">
        <v>0</v>
      </c>
      <c r="X255" s="27" t="s">
        <v>311</v>
      </c>
      <c r="Y255" s="29" t="s">
        <v>310</v>
      </c>
      <c r="Z255" s="29">
        <v>2</v>
      </c>
    </row>
    <row r="256" spans="1:26" s="14" customFormat="1" ht="15.75" x14ac:dyDescent="0.25">
      <c r="A256" s="1"/>
      <c r="B256" t="s">
        <v>685</v>
      </c>
      <c r="C256" t="str">
        <f t="shared" si="14"/>
        <v>1.1.12.1.1</v>
      </c>
      <c r="D256" t="str">
        <f t="shared" si="15"/>
        <v>Berubah</v>
      </c>
      <c r="E256" t="str">
        <f t="shared" si="16"/>
        <v>1.3.1.01.02.08.001</v>
      </c>
      <c r="F256">
        <v>251</v>
      </c>
      <c r="G256" s="9">
        <v>1</v>
      </c>
      <c r="H256" s="9">
        <v>3</v>
      </c>
      <c r="I256" s="9">
        <v>1</v>
      </c>
      <c r="J256" s="10" t="s">
        <v>13</v>
      </c>
      <c r="K256" s="10" t="s">
        <v>21</v>
      </c>
      <c r="L256" s="10" t="s">
        <v>39</v>
      </c>
      <c r="M256" s="10" t="s">
        <v>17</v>
      </c>
      <c r="N256" s="38" t="s">
        <v>312</v>
      </c>
      <c r="O256" t="b">
        <f t="shared" si="17"/>
        <v>1</v>
      </c>
      <c r="P256"/>
      <c r="Q256"/>
      <c r="R256">
        <v>251</v>
      </c>
      <c r="S256" s="41">
        <v>1</v>
      </c>
      <c r="T256" s="41">
        <v>1</v>
      </c>
      <c r="U256" s="41">
        <v>12</v>
      </c>
      <c r="V256" s="41">
        <v>1</v>
      </c>
      <c r="W256" s="41">
        <v>1</v>
      </c>
      <c r="X256" s="16" t="s">
        <v>312</v>
      </c>
      <c r="Y256" s="17" t="s">
        <v>310</v>
      </c>
      <c r="Z256" s="17">
        <v>3</v>
      </c>
    </row>
    <row r="257" spans="1:26" s="14" customFormat="1" ht="15.75" x14ac:dyDescent="0.25">
      <c r="A257" s="1"/>
      <c r="B257" t="s">
        <v>686</v>
      </c>
      <c r="C257" t="str">
        <f t="shared" si="14"/>
        <v>1.1.12.1.2</v>
      </c>
      <c r="D257" t="str">
        <f t="shared" si="15"/>
        <v>Berubah</v>
      </c>
      <c r="E257" t="str">
        <f t="shared" si="16"/>
        <v>1.3.1.01.02.08.002</v>
      </c>
      <c r="F257">
        <v>252</v>
      </c>
      <c r="G257" s="9">
        <v>1</v>
      </c>
      <c r="H257" s="9">
        <v>3</v>
      </c>
      <c r="I257" s="9">
        <v>1</v>
      </c>
      <c r="J257" s="10" t="s">
        <v>13</v>
      </c>
      <c r="K257" s="10" t="s">
        <v>21</v>
      </c>
      <c r="L257" s="10" t="s">
        <v>39</v>
      </c>
      <c r="M257" s="10" t="s">
        <v>19</v>
      </c>
      <c r="N257" s="38" t="s">
        <v>313</v>
      </c>
      <c r="O257" t="b">
        <f t="shared" si="17"/>
        <v>1</v>
      </c>
      <c r="P257"/>
      <c r="Q257"/>
      <c r="R257">
        <v>252</v>
      </c>
      <c r="S257" s="41">
        <v>1</v>
      </c>
      <c r="T257" s="41">
        <v>1</v>
      </c>
      <c r="U257" s="41">
        <v>12</v>
      </c>
      <c r="V257" s="41">
        <v>1</v>
      </c>
      <c r="W257" s="41">
        <v>2</v>
      </c>
      <c r="X257" s="16" t="s">
        <v>313</v>
      </c>
      <c r="Y257" s="17" t="s">
        <v>310</v>
      </c>
      <c r="Z257" s="17">
        <v>4</v>
      </c>
    </row>
    <row r="258" spans="1:26" s="14" customFormat="1" ht="15.75" x14ac:dyDescent="0.25">
      <c r="A258" s="1"/>
      <c r="B258" t="s">
        <v>687</v>
      </c>
      <c r="C258" t="str">
        <f t="shared" si="14"/>
        <v>1.1.12.1.3</v>
      </c>
      <c r="D258" t="str">
        <f t="shared" si="15"/>
        <v>Berubah</v>
      </c>
      <c r="E258" t="str">
        <f t="shared" si="16"/>
        <v>1.3.1.01.02.08.003</v>
      </c>
      <c r="F258">
        <v>253</v>
      </c>
      <c r="G258" s="9">
        <v>1</v>
      </c>
      <c r="H258" s="9">
        <v>3</v>
      </c>
      <c r="I258" s="9">
        <v>1</v>
      </c>
      <c r="J258" s="10" t="s">
        <v>13</v>
      </c>
      <c r="K258" s="10" t="s">
        <v>21</v>
      </c>
      <c r="L258" s="10" t="s">
        <v>39</v>
      </c>
      <c r="M258" s="10" t="s">
        <v>22</v>
      </c>
      <c r="N258" s="38" t="s">
        <v>314</v>
      </c>
      <c r="O258" t="b">
        <f t="shared" si="17"/>
        <v>1</v>
      </c>
      <c r="P258"/>
      <c r="Q258"/>
      <c r="R258">
        <v>253</v>
      </c>
      <c r="S258" s="41">
        <v>1</v>
      </c>
      <c r="T258" s="41">
        <v>1</v>
      </c>
      <c r="U258" s="41">
        <v>12</v>
      </c>
      <c r="V258" s="41">
        <v>1</v>
      </c>
      <c r="W258" s="41">
        <v>3</v>
      </c>
      <c r="X258" s="16" t="s">
        <v>314</v>
      </c>
      <c r="Y258" s="17" t="s">
        <v>310</v>
      </c>
      <c r="Z258" s="17">
        <v>5</v>
      </c>
    </row>
    <row r="259" spans="1:26" s="14" customFormat="1" ht="15.75" x14ac:dyDescent="0.25">
      <c r="A259" s="1"/>
      <c r="B259" t="s">
        <v>688</v>
      </c>
      <c r="C259" t="str">
        <f t="shared" si="14"/>
        <v>1.1.12.1.4</v>
      </c>
      <c r="D259" t="str">
        <f t="shared" si="15"/>
        <v>Berubah</v>
      </c>
      <c r="E259" t="str">
        <f t="shared" si="16"/>
        <v>1.3.1.01.02.08.004</v>
      </c>
      <c r="F259">
        <v>254</v>
      </c>
      <c r="G259" s="9">
        <v>1</v>
      </c>
      <c r="H259" s="9">
        <v>3</v>
      </c>
      <c r="I259" s="9">
        <v>1</v>
      </c>
      <c r="J259" s="10" t="s">
        <v>13</v>
      </c>
      <c r="K259" s="10" t="s">
        <v>21</v>
      </c>
      <c r="L259" s="10" t="s">
        <v>39</v>
      </c>
      <c r="M259" s="10" t="s">
        <v>25</v>
      </c>
      <c r="N259" s="38" t="s">
        <v>315</v>
      </c>
      <c r="O259" t="b">
        <f t="shared" si="17"/>
        <v>1</v>
      </c>
      <c r="P259"/>
      <c r="Q259"/>
      <c r="R259">
        <v>254</v>
      </c>
      <c r="S259" s="41">
        <v>1</v>
      </c>
      <c r="T259" s="41">
        <v>1</v>
      </c>
      <c r="U259" s="41">
        <v>12</v>
      </c>
      <c r="V259" s="41">
        <v>1</v>
      </c>
      <c r="W259" s="41">
        <v>4</v>
      </c>
      <c r="X259" s="16" t="s">
        <v>315</v>
      </c>
      <c r="Y259" s="17" t="s">
        <v>310</v>
      </c>
      <c r="Z259" s="17">
        <v>6</v>
      </c>
    </row>
    <row r="260" spans="1:26" s="14" customFormat="1" ht="15.75" x14ac:dyDescent="0.25">
      <c r="A260" s="1"/>
      <c r="B260" t="s">
        <v>689</v>
      </c>
      <c r="C260" t="str">
        <f t="shared" si="14"/>
        <v>1.1.12.1.5</v>
      </c>
      <c r="D260" t="str">
        <f t="shared" si="15"/>
        <v>Berubah</v>
      </c>
      <c r="E260" t="str">
        <f t="shared" si="16"/>
        <v>1.3.1.01.02.08.005</v>
      </c>
      <c r="F260">
        <v>255</v>
      </c>
      <c r="G260" s="9">
        <v>1</v>
      </c>
      <c r="H260" s="9">
        <v>3</v>
      </c>
      <c r="I260" s="9">
        <v>1</v>
      </c>
      <c r="J260" s="10" t="s">
        <v>13</v>
      </c>
      <c r="K260" s="10" t="s">
        <v>21</v>
      </c>
      <c r="L260" s="10" t="s">
        <v>39</v>
      </c>
      <c r="M260" s="10" t="s">
        <v>28</v>
      </c>
      <c r="N260" s="38" t="s">
        <v>316</v>
      </c>
      <c r="O260" t="b">
        <f t="shared" si="17"/>
        <v>1</v>
      </c>
      <c r="P260"/>
      <c r="Q260"/>
      <c r="R260">
        <v>255</v>
      </c>
      <c r="S260" s="41">
        <v>1</v>
      </c>
      <c r="T260" s="41">
        <v>1</v>
      </c>
      <c r="U260" s="41">
        <v>12</v>
      </c>
      <c r="V260" s="41">
        <v>1</v>
      </c>
      <c r="W260" s="41">
        <v>5</v>
      </c>
      <c r="X260" s="16" t="s">
        <v>316</v>
      </c>
      <c r="Y260" s="17" t="s">
        <v>310</v>
      </c>
      <c r="Z260" s="17">
        <v>7</v>
      </c>
    </row>
    <row r="261" spans="1:26" s="14" customFormat="1" ht="15.75" x14ac:dyDescent="0.25">
      <c r="A261" s="1"/>
      <c r="B261" t="s">
        <v>690</v>
      </c>
      <c r="C261" t="str">
        <f t="shared" si="14"/>
        <v>1.1.12.1.6</v>
      </c>
      <c r="D261" t="str">
        <f t="shared" si="15"/>
        <v>Berubah</v>
      </c>
      <c r="E261" t="str">
        <f t="shared" si="16"/>
        <v>1.3.1.01.02.08.006</v>
      </c>
      <c r="F261">
        <v>256</v>
      </c>
      <c r="G261" s="9">
        <v>1</v>
      </c>
      <c r="H261" s="9">
        <v>3</v>
      </c>
      <c r="I261" s="9">
        <v>1</v>
      </c>
      <c r="J261" s="10" t="s">
        <v>13</v>
      </c>
      <c r="K261" s="10" t="s">
        <v>21</v>
      </c>
      <c r="L261" s="10" t="s">
        <v>39</v>
      </c>
      <c r="M261" s="10" t="s">
        <v>31</v>
      </c>
      <c r="N261" s="38" t="s">
        <v>317</v>
      </c>
      <c r="O261" t="b">
        <f t="shared" si="17"/>
        <v>1</v>
      </c>
      <c r="P261"/>
      <c r="Q261"/>
      <c r="R261">
        <v>256</v>
      </c>
      <c r="S261" s="41">
        <v>1</v>
      </c>
      <c r="T261" s="41">
        <v>1</v>
      </c>
      <c r="U261" s="41">
        <v>12</v>
      </c>
      <c r="V261" s="41">
        <v>1</v>
      </c>
      <c r="W261" s="41">
        <v>6</v>
      </c>
      <c r="X261" s="16" t="s">
        <v>317</v>
      </c>
      <c r="Y261" s="17" t="s">
        <v>310</v>
      </c>
      <c r="Z261" s="17">
        <v>8</v>
      </c>
    </row>
    <row r="262" spans="1:26" s="14" customFormat="1" ht="15.75" x14ac:dyDescent="0.25">
      <c r="A262" s="1"/>
      <c r="B262" t="s">
        <v>691</v>
      </c>
      <c r="C262" t="str">
        <f t="shared" si="14"/>
        <v>1.1.12.1.7</v>
      </c>
      <c r="D262" t="str">
        <f t="shared" si="15"/>
        <v>Berubah</v>
      </c>
      <c r="E262" t="str">
        <f t="shared" si="16"/>
        <v>1.3.1.01.02.08.007</v>
      </c>
      <c r="F262">
        <v>257</v>
      </c>
      <c r="G262" s="9">
        <v>1</v>
      </c>
      <c r="H262" s="9">
        <v>3</v>
      </c>
      <c r="I262" s="9">
        <v>1</v>
      </c>
      <c r="J262" s="10" t="s">
        <v>13</v>
      </c>
      <c r="K262" s="10" t="s">
        <v>21</v>
      </c>
      <c r="L262" s="10" t="s">
        <v>39</v>
      </c>
      <c r="M262" s="10" t="s">
        <v>34</v>
      </c>
      <c r="N262" s="38" t="s">
        <v>318</v>
      </c>
      <c r="O262" t="b">
        <f t="shared" si="17"/>
        <v>1</v>
      </c>
      <c r="P262"/>
      <c r="Q262"/>
      <c r="R262">
        <v>257</v>
      </c>
      <c r="S262" s="41">
        <v>1</v>
      </c>
      <c r="T262" s="41">
        <v>1</v>
      </c>
      <c r="U262" s="41">
        <v>12</v>
      </c>
      <c r="V262" s="41">
        <v>1</v>
      </c>
      <c r="W262" s="41">
        <v>7</v>
      </c>
      <c r="X262" s="16" t="s">
        <v>318</v>
      </c>
      <c r="Y262" s="17" t="s">
        <v>310</v>
      </c>
      <c r="Z262" s="17">
        <v>9</v>
      </c>
    </row>
    <row r="263" spans="1:26" s="14" customFormat="1" ht="15.75" x14ac:dyDescent="0.25">
      <c r="A263" s="1"/>
      <c r="B263" t="s">
        <v>692</v>
      </c>
      <c r="C263" t="str">
        <f t="shared" ref="C263:C326" si="18">S263&amp;"."&amp;T263&amp;"."&amp;U263&amp;"."&amp;V263&amp;"."&amp;W263</f>
        <v>1.1.12.1.8</v>
      </c>
      <c r="D263" t="str">
        <f t="shared" ref="D263:D326" si="19">IF(S263&lt;&gt;"",IF(G263="","Keluar","Berubah"),"Bertambah")</f>
        <v>Berubah</v>
      </c>
      <c r="E263" t="str">
        <f t="shared" ref="E263:E326" si="20">G263&amp;"."&amp;H263&amp;"."&amp;I263&amp;"."&amp;J263&amp;"."&amp;K263&amp;"."&amp;L263&amp;"."&amp;M263</f>
        <v>1.3.1.01.02.08.008</v>
      </c>
      <c r="F263">
        <v>258</v>
      </c>
      <c r="G263" s="9">
        <v>1</v>
      </c>
      <c r="H263" s="9">
        <v>3</v>
      </c>
      <c r="I263" s="9">
        <v>1</v>
      </c>
      <c r="J263" s="10" t="s">
        <v>13</v>
      </c>
      <c r="K263" s="10" t="s">
        <v>21</v>
      </c>
      <c r="L263" s="10" t="s">
        <v>39</v>
      </c>
      <c r="M263" s="10" t="s">
        <v>37</v>
      </c>
      <c r="N263" s="38" t="s">
        <v>319</v>
      </c>
      <c r="O263" t="b">
        <f t="shared" si="17"/>
        <v>1</v>
      </c>
      <c r="P263"/>
      <c r="Q263"/>
      <c r="R263">
        <v>258</v>
      </c>
      <c r="S263" s="41">
        <v>1</v>
      </c>
      <c r="T263" s="41">
        <v>1</v>
      </c>
      <c r="U263" s="41">
        <v>12</v>
      </c>
      <c r="V263" s="41">
        <v>1</v>
      </c>
      <c r="W263" s="41">
        <v>8</v>
      </c>
      <c r="X263" s="16" t="s">
        <v>319</v>
      </c>
      <c r="Y263" s="17" t="s">
        <v>310</v>
      </c>
      <c r="Z263" s="17">
        <v>10</v>
      </c>
    </row>
    <row r="264" spans="1:26" ht="15.75" x14ac:dyDescent="0.25">
      <c r="B264" t="s">
        <v>693</v>
      </c>
      <c r="C264" t="str">
        <f t="shared" si="18"/>
        <v>1.1.12.1.9</v>
      </c>
      <c r="D264" t="str">
        <f t="shared" si="19"/>
        <v>Berubah</v>
      </c>
      <c r="E264" t="str">
        <f t="shared" si="20"/>
        <v>1.3.1.01.02.08.009</v>
      </c>
      <c r="F264">
        <v>259</v>
      </c>
      <c r="G264" s="9">
        <v>1</v>
      </c>
      <c r="H264" s="9">
        <v>3</v>
      </c>
      <c r="I264" s="9">
        <v>1</v>
      </c>
      <c r="J264" s="10" t="s">
        <v>13</v>
      </c>
      <c r="K264" s="10" t="s">
        <v>21</v>
      </c>
      <c r="L264" s="10" t="s">
        <v>39</v>
      </c>
      <c r="M264" s="10" t="s">
        <v>40</v>
      </c>
      <c r="N264" s="38" t="s">
        <v>320</v>
      </c>
      <c r="O264" t="b">
        <f t="shared" si="17"/>
        <v>1</v>
      </c>
      <c r="R264">
        <v>259</v>
      </c>
      <c r="S264" s="41">
        <v>1</v>
      </c>
      <c r="T264" s="41">
        <v>1</v>
      </c>
      <c r="U264" s="41">
        <v>12</v>
      </c>
      <c r="V264" s="41">
        <v>1</v>
      </c>
      <c r="W264" s="41">
        <v>9</v>
      </c>
      <c r="X264" s="16" t="s">
        <v>320</v>
      </c>
      <c r="Y264" s="17" t="s">
        <v>310</v>
      </c>
      <c r="Z264" s="17">
        <v>11</v>
      </c>
    </row>
    <row r="265" spans="1:26" ht="15.75" x14ac:dyDescent="0.25">
      <c r="B265" t="s">
        <v>694</v>
      </c>
      <c r="C265" t="str">
        <f t="shared" si="18"/>
        <v>1.1.12.1.10</v>
      </c>
      <c r="D265" t="str">
        <f t="shared" si="19"/>
        <v>Berubah</v>
      </c>
      <c r="E265" t="str">
        <f t="shared" si="20"/>
        <v>1.3.1.01.02.08.010</v>
      </c>
      <c r="F265">
        <v>260</v>
      </c>
      <c r="G265" s="9">
        <v>1</v>
      </c>
      <c r="H265" s="9">
        <v>3</v>
      </c>
      <c r="I265" s="9">
        <v>1</v>
      </c>
      <c r="J265" s="10" t="s">
        <v>13</v>
      </c>
      <c r="K265" s="10" t="s">
        <v>21</v>
      </c>
      <c r="L265" s="10" t="s">
        <v>39</v>
      </c>
      <c r="M265" s="10" t="s">
        <v>43</v>
      </c>
      <c r="N265" s="38" t="s">
        <v>321</v>
      </c>
      <c r="O265" t="b">
        <f t="shared" ref="O265:O328" si="21">N265=X265</f>
        <v>1</v>
      </c>
      <c r="R265">
        <v>260</v>
      </c>
      <c r="S265" s="41">
        <v>1</v>
      </c>
      <c r="T265" s="41">
        <v>1</v>
      </c>
      <c r="U265" s="41">
        <v>12</v>
      </c>
      <c r="V265" s="41">
        <v>1</v>
      </c>
      <c r="W265" s="41">
        <v>10</v>
      </c>
      <c r="X265" s="16" t="s">
        <v>321</v>
      </c>
      <c r="Y265" s="17" t="s">
        <v>310</v>
      </c>
      <c r="Z265" s="17">
        <v>12</v>
      </c>
    </row>
    <row r="266" spans="1:26" ht="15.75" x14ac:dyDescent="0.25">
      <c r="B266" t="s">
        <v>695</v>
      </c>
      <c r="C266" t="str">
        <f t="shared" si="18"/>
        <v>1.1.12.1.11</v>
      </c>
      <c r="D266" t="str">
        <f t="shared" si="19"/>
        <v>Berubah</v>
      </c>
      <c r="E266" t="str">
        <f t="shared" si="20"/>
        <v>1.3.1.01.02.08.011</v>
      </c>
      <c r="F266">
        <v>261</v>
      </c>
      <c r="G266" s="9">
        <v>1</v>
      </c>
      <c r="H266" s="9">
        <v>3</v>
      </c>
      <c r="I266" s="9">
        <v>1</v>
      </c>
      <c r="J266" s="10" t="s">
        <v>13</v>
      </c>
      <c r="K266" s="10" t="s">
        <v>21</v>
      </c>
      <c r="L266" s="10" t="s">
        <v>39</v>
      </c>
      <c r="M266" s="10" t="s">
        <v>46</v>
      </c>
      <c r="N266" s="38" t="s">
        <v>322</v>
      </c>
      <c r="O266" t="b">
        <f t="shared" si="21"/>
        <v>1</v>
      </c>
      <c r="R266">
        <v>261</v>
      </c>
      <c r="S266" s="41">
        <v>1</v>
      </c>
      <c r="T266" s="41">
        <v>1</v>
      </c>
      <c r="U266" s="41">
        <v>12</v>
      </c>
      <c r="V266" s="41">
        <v>1</v>
      </c>
      <c r="W266" s="41">
        <v>11</v>
      </c>
      <c r="X266" s="16" t="s">
        <v>322</v>
      </c>
      <c r="Y266" s="17" t="s">
        <v>310</v>
      </c>
      <c r="Z266" s="17">
        <v>13</v>
      </c>
    </row>
    <row r="267" spans="1:26" ht="15.75" x14ac:dyDescent="0.25">
      <c r="B267" t="s">
        <v>696</v>
      </c>
      <c r="C267" t="str">
        <f t="shared" si="18"/>
        <v>1.1.12.1.12</v>
      </c>
      <c r="D267" t="str">
        <f t="shared" si="19"/>
        <v>Berubah</v>
      </c>
      <c r="E267" t="str">
        <f t="shared" si="20"/>
        <v>1.3.1.01.02.08.012</v>
      </c>
      <c r="F267">
        <v>262</v>
      </c>
      <c r="G267" s="9">
        <v>1</v>
      </c>
      <c r="H267" s="9">
        <v>3</v>
      </c>
      <c r="I267" s="9">
        <v>1</v>
      </c>
      <c r="J267" s="10" t="s">
        <v>13</v>
      </c>
      <c r="K267" s="10" t="s">
        <v>21</v>
      </c>
      <c r="L267" s="10" t="s">
        <v>39</v>
      </c>
      <c r="M267" s="10" t="s">
        <v>49</v>
      </c>
      <c r="N267" s="38" t="s">
        <v>323</v>
      </c>
      <c r="O267" t="b">
        <f t="shared" si="21"/>
        <v>1</v>
      </c>
      <c r="R267">
        <v>262</v>
      </c>
      <c r="S267" s="41">
        <v>1</v>
      </c>
      <c r="T267" s="41">
        <v>1</v>
      </c>
      <c r="U267" s="41">
        <v>12</v>
      </c>
      <c r="V267" s="41">
        <v>1</v>
      </c>
      <c r="W267" s="41">
        <v>12</v>
      </c>
      <c r="X267" s="16" t="s">
        <v>323</v>
      </c>
      <c r="Y267" s="17" t="s">
        <v>310</v>
      </c>
      <c r="Z267" s="17">
        <v>14</v>
      </c>
    </row>
    <row r="268" spans="1:26" s="1" customFormat="1" ht="15.75" x14ac:dyDescent="0.25">
      <c r="B268" t="s">
        <v>697</v>
      </c>
      <c r="C268" t="str">
        <f t="shared" si="18"/>
        <v>1.1.12.1.13</v>
      </c>
      <c r="D268" t="str">
        <f t="shared" si="19"/>
        <v>Berubah</v>
      </c>
      <c r="E268" t="str">
        <f t="shared" si="20"/>
        <v>1.3.1.01.02.08.013</v>
      </c>
      <c r="F268" s="1">
        <v>263</v>
      </c>
      <c r="G268" s="19">
        <v>1</v>
      </c>
      <c r="H268" s="19">
        <v>3</v>
      </c>
      <c r="I268" s="19">
        <v>1</v>
      </c>
      <c r="J268" s="20" t="s">
        <v>13</v>
      </c>
      <c r="K268" s="20" t="s">
        <v>21</v>
      </c>
      <c r="L268" s="20" t="s">
        <v>39</v>
      </c>
      <c r="M268" s="20" t="s">
        <v>66</v>
      </c>
      <c r="N268" s="21" t="s">
        <v>50</v>
      </c>
      <c r="O268" s="1" t="b">
        <f t="shared" si="21"/>
        <v>0</v>
      </c>
      <c r="R268" s="1">
        <v>263</v>
      </c>
      <c r="S268" s="42">
        <v>1</v>
      </c>
      <c r="T268" s="42">
        <v>1</v>
      </c>
      <c r="U268" s="42">
        <v>12</v>
      </c>
      <c r="V268" s="42">
        <v>1</v>
      </c>
      <c r="W268" s="42">
        <v>13</v>
      </c>
      <c r="X268" s="22" t="s">
        <v>48</v>
      </c>
      <c r="Y268" s="23" t="s">
        <v>310</v>
      </c>
      <c r="Z268" s="23">
        <v>15</v>
      </c>
    </row>
    <row r="269" spans="1:26" x14ac:dyDescent="0.25">
      <c r="B269" t="s">
        <v>469</v>
      </c>
      <c r="C269" t="str">
        <f t="shared" si="18"/>
        <v>....</v>
      </c>
      <c r="D269" t="str">
        <f t="shared" si="19"/>
        <v>Bertambah</v>
      </c>
      <c r="E269" t="str">
        <f t="shared" si="20"/>
        <v>1.3.1.01.02.09.</v>
      </c>
      <c r="F269" s="14">
        <v>264</v>
      </c>
      <c r="G269" s="24">
        <v>1</v>
      </c>
      <c r="H269" s="24">
        <v>3</v>
      </c>
      <c r="I269" s="24">
        <v>1</v>
      </c>
      <c r="J269" s="25" t="s">
        <v>13</v>
      </c>
      <c r="K269" s="25" t="s">
        <v>21</v>
      </c>
      <c r="L269" s="25" t="s">
        <v>42</v>
      </c>
      <c r="M269" s="25"/>
      <c r="N269" s="26" t="s">
        <v>324</v>
      </c>
      <c r="O269" s="14" t="b">
        <f t="shared" si="21"/>
        <v>0</v>
      </c>
      <c r="P269" s="14"/>
      <c r="Q269" s="14"/>
      <c r="R269" s="14">
        <v>264</v>
      </c>
      <c r="S269" s="28"/>
      <c r="T269" s="28"/>
      <c r="U269" s="28"/>
      <c r="V269" s="28"/>
      <c r="W269" s="28"/>
      <c r="X269" s="28"/>
      <c r="Y269" s="28"/>
      <c r="Z269" s="28"/>
    </row>
    <row r="270" spans="1:26" s="1" customFormat="1" x14ac:dyDescent="0.25">
      <c r="B270" t="s">
        <v>469</v>
      </c>
      <c r="C270" t="str">
        <f t="shared" si="18"/>
        <v>....</v>
      </c>
      <c r="D270" t="str">
        <f t="shared" si="19"/>
        <v>Bertambah</v>
      </c>
      <c r="E270" t="str">
        <f t="shared" si="20"/>
        <v>1.3.1.01.02.09.001</v>
      </c>
      <c r="F270" s="1">
        <v>265</v>
      </c>
      <c r="G270" s="19">
        <v>1</v>
      </c>
      <c r="H270" s="19">
        <v>3</v>
      </c>
      <c r="I270" s="19">
        <v>1</v>
      </c>
      <c r="J270" s="20" t="s">
        <v>13</v>
      </c>
      <c r="K270" s="20" t="s">
        <v>21</v>
      </c>
      <c r="L270" s="20" t="s">
        <v>42</v>
      </c>
      <c r="M270" s="20" t="s">
        <v>17</v>
      </c>
      <c r="N270" s="21" t="s">
        <v>50</v>
      </c>
      <c r="O270" s="1" t="b">
        <f t="shared" si="21"/>
        <v>0</v>
      </c>
      <c r="R270" s="1">
        <v>265</v>
      </c>
      <c r="S270" s="33"/>
      <c r="T270" s="33"/>
      <c r="U270" s="33"/>
      <c r="V270" s="33"/>
      <c r="W270" s="33"/>
      <c r="X270" s="33"/>
      <c r="Y270" s="33"/>
      <c r="Z270" s="33"/>
    </row>
    <row r="271" spans="1:26" ht="15.75" x14ac:dyDescent="0.25">
      <c r="B271" t="s">
        <v>698</v>
      </c>
      <c r="C271" t="str">
        <f t="shared" si="18"/>
        <v>1.1.13.0.0</v>
      </c>
      <c r="D271" t="str">
        <f t="shared" si="19"/>
        <v>Berubah</v>
      </c>
      <c r="E271" t="str">
        <f t="shared" si="20"/>
        <v>1.3.1.01.03..</v>
      </c>
      <c r="F271" s="1">
        <v>266</v>
      </c>
      <c r="G271" s="19">
        <v>1</v>
      </c>
      <c r="H271" s="19">
        <v>3</v>
      </c>
      <c r="I271" s="19">
        <v>1</v>
      </c>
      <c r="J271" s="20" t="s">
        <v>13</v>
      </c>
      <c r="K271" s="20" t="s">
        <v>24</v>
      </c>
      <c r="L271" s="20"/>
      <c r="M271" s="20"/>
      <c r="N271" s="21" t="s">
        <v>325</v>
      </c>
      <c r="O271" s="1" t="b">
        <f t="shared" si="21"/>
        <v>0</v>
      </c>
      <c r="P271" s="1"/>
      <c r="Q271" s="1"/>
      <c r="R271" s="1">
        <v>266</v>
      </c>
      <c r="S271" s="42">
        <v>1</v>
      </c>
      <c r="T271" s="42">
        <v>1</v>
      </c>
      <c r="U271" s="42">
        <v>13</v>
      </c>
      <c r="V271" s="42">
        <v>0</v>
      </c>
      <c r="W271" s="42">
        <v>0</v>
      </c>
      <c r="X271" s="22" t="s">
        <v>326</v>
      </c>
      <c r="Y271" s="23" t="s">
        <v>153</v>
      </c>
      <c r="Z271" s="23">
        <v>1</v>
      </c>
    </row>
    <row r="272" spans="1:26" ht="15.75" x14ac:dyDescent="0.25">
      <c r="B272" t="s">
        <v>699</v>
      </c>
      <c r="C272" t="str">
        <f t="shared" si="18"/>
        <v>1.1.13.1.0</v>
      </c>
      <c r="D272" t="str">
        <f t="shared" si="19"/>
        <v>Berubah</v>
      </c>
      <c r="E272" t="str">
        <f t="shared" si="20"/>
        <v>1.3.1.01.03.01.</v>
      </c>
      <c r="F272">
        <v>267</v>
      </c>
      <c r="G272" s="9">
        <v>1</v>
      </c>
      <c r="H272" s="9">
        <v>3</v>
      </c>
      <c r="I272" s="9">
        <v>1</v>
      </c>
      <c r="J272" s="10" t="s">
        <v>13</v>
      </c>
      <c r="K272" s="10" t="s">
        <v>24</v>
      </c>
      <c r="L272" s="10" t="s">
        <v>13</v>
      </c>
      <c r="M272" s="10"/>
      <c r="N272" s="18" t="s">
        <v>327</v>
      </c>
      <c r="O272" t="b">
        <f t="shared" si="21"/>
        <v>1</v>
      </c>
      <c r="R272">
        <v>267</v>
      </c>
      <c r="S272" s="41">
        <v>1</v>
      </c>
      <c r="T272" s="41">
        <v>1</v>
      </c>
      <c r="U272" s="41">
        <v>13</v>
      </c>
      <c r="V272" s="41">
        <v>1</v>
      </c>
      <c r="W272" s="41">
        <v>0</v>
      </c>
      <c r="X272" s="16" t="s">
        <v>328</v>
      </c>
      <c r="Y272" s="17" t="s">
        <v>153</v>
      </c>
      <c r="Z272" s="17">
        <v>2</v>
      </c>
    </row>
    <row r="273" spans="2:26" ht="15.75" x14ac:dyDescent="0.25">
      <c r="B273" t="s">
        <v>700</v>
      </c>
      <c r="C273" t="str">
        <f t="shared" si="18"/>
        <v>1.1.13.1.1</v>
      </c>
      <c r="D273" t="str">
        <f t="shared" si="19"/>
        <v>Berubah</v>
      </c>
      <c r="E273" t="str">
        <f t="shared" si="20"/>
        <v>1.3.1.01.03.01.001</v>
      </c>
      <c r="F273">
        <v>268</v>
      </c>
      <c r="G273" s="9">
        <v>1</v>
      </c>
      <c r="H273" s="9">
        <v>3</v>
      </c>
      <c r="I273" s="9">
        <v>1</v>
      </c>
      <c r="J273" s="10" t="s">
        <v>13</v>
      </c>
      <c r="K273" s="10" t="s">
        <v>24</v>
      </c>
      <c r="L273" s="10" t="s">
        <v>13</v>
      </c>
      <c r="M273" s="10" t="s">
        <v>17</v>
      </c>
      <c r="N273" s="18" t="s">
        <v>329</v>
      </c>
      <c r="O273" t="b">
        <f t="shared" si="21"/>
        <v>1</v>
      </c>
      <c r="R273">
        <v>268</v>
      </c>
      <c r="S273" s="41">
        <v>1</v>
      </c>
      <c r="T273" s="41">
        <v>1</v>
      </c>
      <c r="U273" s="41">
        <v>13</v>
      </c>
      <c r="V273" s="41">
        <v>1</v>
      </c>
      <c r="W273" s="41">
        <v>1</v>
      </c>
      <c r="X273" s="16" t="s">
        <v>329</v>
      </c>
      <c r="Y273" s="17" t="s">
        <v>153</v>
      </c>
      <c r="Z273" s="17">
        <v>3</v>
      </c>
    </row>
    <row r="274" spans="2:26" ht="15.75" x14ac:dyDescent="0.25">
      <c r="B274" t="s">
        <v>701</v>
      </c>
      <c r="C274" t="str">
        <f t="shared" si="18"/>
        <v>1.1.13.1.2</v>
      </c>
      <c r="D274" t="str">
        <f t="shared" si="19"/>
        <v>Berubah</v>
      </c>
      <c r="E274" t="str">
        <f t="shared" si="20"/>
        <v>1.3.1.01.03.01.002</v>
      </c>
      <c r="F274">
        <v>269</v>
      </c>
      <c r="G274" s="9">
        <v>1</v>
      </c>
      <c r="H274" s="9">
        <v>3</v>
      </c>
      <c r="I274" s="9">
        <v>1</v>
      </c>
      <c r="J274" s="10" t="s">
        <v>13</v>
      </c>
      <c r="K274" s="10" t="s">
        <v>24</v>
      </c>
      <c r="L274" s="10" t="s">
        <v>13</v>
      </c>
      <c r="M274" s="10" t="s">
        <v>19</v>
      </c>
      <c r="N274" s="18" t="s">
        <v>330</v>
      </c>
      <c r="O274" t="b">
        <f t="shared" si="21"/>
        <v>1</v>
      </c>
      <c r="R274">
        <v>269</v>
      </c>
      <c r="S274" s="41">
        <v>1</v>
      </c>
      <c r="T274" s="41">
        <v>1</v>
      </c>
      <c r="U274" s="41">
        <v>13</v>
      </c>
      <c r="V274" s="41">
        <v>1</v>
      </c>
      <c r="W274" s="41">
        <v>2</v>
      </c>
      <c r="X274" s="16" t="s">
        <v>330</v>
      </c>
      <c r="Y274" s="17" t="s">
        <v>153</v>
      </c>
      <c r="Z274" s="17">
        <v>4</v>
      </c>
    </row>
    <row r="275" spans="2:26" ht="15.75" x14ac:dyDescent="0.25">
      <c r="B275" t="s">
        <v>702</v>
      </c>
      <c r="C275" t="str">
        <f t="shared" si="18"/>
        <v>1.1.13.1.3</v>
      </c>
      <c r="D275" t="str">
        <f t="shared" si="19"/>
        <v>Berubah</v>
      </c>
      <c r="E275" t="str">
        <f t="shared" si="20"/>
        <v>1.3.1.01.03.01.003</v>
      </c>
      <c r="F275">
        <v>270</v>
      </c>
      <c r="G275" s="9">
        <v>1</v>
      </c>
      <c r="H275" s="9">
        <v>3</v>
      </c>
      <c r="I275" s="9">
        <v>1</v>
      </c>
      <c r="J275" s="10" t="s">
        <v>13</v>
      </c>
      <c r="K275" s="10" t="s">
        <v>24</v>
      </c>
      <c r="L275" s="10" t="s">
        <v>13</v>
      </c>
      <c r="M275" s="10" t="s">
        <v>22</v>
      </c>
      <c r="N275" s="18" t="s">
        <v>331</v>
      </c>
      <c r="O275" t="b">
        <f t="shared" si="21"/>
        <v>1</v>
      </c>
      <c r="R275">
        <v>270</v>
      </c>
      <c r="S275" s="41">
        <v>1</v>
      </c>
      <c r="T275" s="41">
        <v>1</v>
      </c>
      <c r="U275" s="41">
        <v>13</v>
      </c>
      <c r="V275" s="41">
        <v>1</v>
      </c>
      <c r="W275" s="41">
        <v>3</v>
      </c>
      <c r="X275" s="16" t="s">
        <v>331</v>
      </c>
      <c r="Y275" s="17" t="s">
        <v>153</v>
      </c>
      <c r="Z275" s="17">
        <v>5</v>
      </c>
    </row>
    <row r="276" spans="2:26" ht="15.75" x14ac:dyDescent="0.25">
      <c r="B276" t="s">
        <v>703</v>
      </c>
      <c r="C276" t="str">
        <f t="shared" si="18"/>
        <v>1.1.13.1.4</v>
      </c>
      <c r="D276" t="str">
        <f t="shared" si="19"/>
        <v>Berubah</v>
      </c>
      <c r="E276" t="str">
        <f t="shared" si="20"/>
        <v>1.3.1.01.03.01.004</v>
      </c>
      <c r="F276">
        <v>271</v>
      </c>
      <c r="G276" s="9">
        <v>1</v>
      </c>
      <c r="H276" s="9">
        <v>3</v>
      </c>
      <c r="I276" s="9">
        <v>1</v>
      </c>
      <c r="J276" s="10" t="s">
        <v>13</v>
      </c>
      <c r="K276" s="10" t="s">
        <v>24</v>
      </c>
      <c r="L276" s="10" t="s">
        <v>13</v>
      </c>
      <c r="M276" s="10" t="s">
        <v>25</v>
      </c>
      <c r="N276" s="18" t="s">
        <v>332</v>
      </c>
      <c r="O276" t="b">
        <f t="shared" si="21"/>
        <v>1</v>
      </c>
      <c r="R276">
        <v>271</v>
      </c>
      <c r="S276" s="41">
        <v>1</v>
      </c>
      <c r="T276" s="41">
        <v>1</v>
      </c>
      <c r="U276" s="41">
        <v>13</v>
      </c>
      <c r="V276" s="41">
        <v>1</v>
      </c>
      <c r="W276" s="41">
        <v>4</v>
      </c>
      <c r="X276" s="16" t="s">
        <v>332</v>
      </c>
      <c r="Y276" s="17" t="s">
        <v>153</v>
      </c>
      <c r="Z276" s="17">
        <v>6</v>
      </c>
    </row>
    <row r="277" spans="2:26" ht="15.75" x14ac:dyDescent="0.25">
      <c r="B277" t="s">
        <v>704</v>
      </c>
      <c r="C277" t="str">
        <f t="shared" si="18"/>
        <v>1.1.13.1.5</v>
      </c>
      <c r="D277" t="str">
        <f t="shared" si="19"/>
        <v>Berubah</v>
      </c>
      <c r="E277" t="str">
        <f t="shared" si="20"/>
        <v>1.3.1.01.03.01.005</v>
      </c>
      <c r="F277">
        <v>272</v>
      </c>
      <c r="G277" s="9">
        <v>1</v>
      </c>
      <c r="H277" s="9">
        <v>3</v>
      </c>
      <c r="I277" s="9">
        <v>1</v>
      </c>
      <c r="J277" s="10" t="s">
        <v>13</v>
      </c>
      <c r="K277" s="10" t="s">
        <v>24</v>
      </c>
      <c r="L277" s="10" t="s">
        <v>13</v>
      </c>
      <c r="M277" s="10" t="s">
        <v>28</v>
      </c>
      <c r="N277" s="18" t="s">
        <v>333</v>
      </c>
      <c r="O277" t="b">
        <f t="shared" si="21"/>
        <v>1</v>
      </c>
      <c r="R277">
        <v>272</v>
      </c>
      <c r="S277" s="41">
        <v>1</v>
      </c>
      <c r="T277" s="41">
        <v>1</v>
      </c>
      <c r="U277" s="41">
        <v>13</v>
      </c>
      <c r="V277" s="41">
        <v>1</v>
      </c>
      <c r="W277" s="41">
        <v>5</v>
      </c>
      <c r="X277" s="16" t="s">
        <v>333</v>
      </c>
      <c r="Y277" s="17" t="s">
        <v>153</v>
      </c>
      <c r="Z277" s="17">
        <v>7</v>
      </c>
    </row>
    <row r="278" spans="2:26" ht="15.75" x14ac:dyDescent="0.25">
      <c r="B278" t="s">
        <v>705</v>
      </c>
      <c r="C278" t="str">
        <f t="shared" si="18"/>
        <v>1.1.13.1.6</v>
      </c>
      <c r="D278" t="str">
        <f t="shared" si="19"/>
        <v>Berubah</v>
      </c>
      <c r="E278" t="str">
        <f t="shared" si="20"/>
        <v>1.3.1.01.03.01.006</v>
      </c>
      <c r="F278">
        <v>273</v>
      </c>
      <c r="G278" s="9">
        <v>1</v>
      </c>
      <c r="H278" s="9">
        <v>3</v>
      </c>
      <c r="I278" s="9">
        <v>1</v>
      </c>
      <c r="J278" s="10" t="s">
        <v>13</v>
      </c>
      <c r="K278" s="10" t="s">
        <v>24</v>
      </c>
      <c r="L278" s="10" t="s">
        <v>13</v>
      </c>
      <c r="M278" s="10" t="s">
        <v>31</v>
      </c>
      <c r="N278" s="18" t="s">
        <v>334</v>
      </c>
      <c r="O278" t="b">
        <f t="shared" si="21"/>
        <v>1</v>
      </c>
      <c r="R278">
        <v>273</v>
      </c>
      <c r="S278" s="41">
        <v>1</v>
      </c>
      <c r="T278" s="41">
        <v>1</v>
      </c>
      <c r="U278" s="41">
        <v>13</v>
      </c>
      <c r="V278" s="41">
        <v>1</v>
      </c>
      <c r="W278" s="41">
        <v>6</v>
      </c>
      <c r="X278" s="16" t="s">
        <v>334</v>
      </c>
      <c r="Y278" s="17" t="s">
        <v>153</v>
      </c>
      <c r="Z278" s="17">
        <v>8</v>
      </c>
    </row>
    <row r="279" spans="2:26" ht="15.75" x14ac:dyDescent="0.25">
      <c r="B279" t="s">
        <v>706</v>
      </c>
      <c r="C279" t="str">
        <f t="shared" si="18"/>
        <v>1.1.13.1.7</v>
      </c>
      <c r="D279" t="str">
        <f t="shared" si="19"/>
        <v>Berubah</v>
      </c>
      <c r="E279" t="str">
        <f t="shared" si="20"/>
        <v>1.3.1.01.03.01.007</v>
      </c>
      <c r="F279">
        <v>274</v>
      </c>
      <c r="G279" s="9">
        <v>1</v>
      </c>
      <c r="H279" s="9">
        <v>3</v>
      </c>
      <c r="I279" s="9">
        <v>1</v>
      </c>
      <c r="J279" s="10" t="s">
        <v>13</v>
      </c>
      <c r="K279" s="10" t="s">
        <v>24</v>
      </c>
      <c r="L279" s="10" t="s">
        <v>13</v>
      </c>
      <c r="M279" s="10" t="s">
        <v>34</v>
      </c>
      <c r="N279" s="18" t="s">
        <v>335</v>
      </c>
      <c r="O279" t="b">
        <f t="shared" si="21"/>
        <v>1</v>
      </c>
      <c r="R279">
        <v>274</v>
      </c>
      <c r="S279" s="41">
        <v>1</v>
      </c>
      <c r="T279" s="41">
        <v>1</v>
      </c>
      <c r="U279" s="41">
        <v>13</v>
      </c>
      <c r="V279" s="41">
        <v>1</v>
      </c>
      <c r="W279" s="41">
        <v>7</v>
      </c>
      <c r="X279" s="16" t="s">
        <v>335</v>
      </c>
      <c r="Y279" s="17" t="s">
        <v>153</v>
      </c>
      <c r="Z279" s="17">
        <v>9</v>
      </c>
    </row>
    <row r="280" spans="2:26" ht="15.75" x14ac:dyDescent="0.25">
      <c r="B280" t="s">
        <v>707</v>
      </c>
      <c r="C280" t="str">
        <f t="shared" si="18"/>
        <v>1.1.13.1.8</v>
      </c>
      <c r="D280" t="str">
        <f t="shared" si="19"/>
        <v>Berubah</v>
      </c>
      <c r="E280" t="str">
        <f t="shared" si="20"/>
        <v>1.3.1.01.03.01.008</v>
      </c>
      <c r="F280">
        <v>275</v>
      </c>
      <c r="G280" s="9">
        <v>1</v>
      </c>
      <c r="H280" s="9">
        <v>3</v>
      </c>
      <c r="I280" s="9">
        <v>1</v>
      </c>
      <c r="J280" s="10" t="s">
        <v>13</v>
      </c>
      <c r="K280" s="10" t="s">
        <v>24</v>
      </c>
      <c r="L280" s="10" t="s">
        <v>13</v>
      </c>
      <c r="M280" s="10" t="s">
        <v>37</v>
      </c>
      <c r="N280" s="18" t="s">
        <v>336</v>
      </c>
      <c r="O280" t="b">
        <f t="shared" si="21"/>
        <v>1</v>
      </c>
      <c r="R280">
        <v>275</v>
      </c>
      <c r="S280" s="41">
        <v>1</v>
      </c>
      <c r="T280" s="41">
        <v>1</v>
      </c>
      <c r="U280" s="41">
        <v>13</v>
      </c>
      <c r="V280" s="41">
        <v>1</v>
      </c>
      <c r="W280" s="41">
        <v>8</v>
      </c>
      <c r="X280" s="16" t="s">
        <v>336</v>
      </c>
      <c r="Y280" s="17" t="s">
        <v>153</v>
      </c>
      <c r="Z280" s="17">
        <v>10</v>
      </c>
    </row>
    <row r="281" spans="2:26" ht="15.75" x14ac:dyDescent="0.25">
      <c r="B281" t="s">
        <v>708</v>
      </c>
      <c r="C281" t="str">
        <f t="shared" si="18"/>
        <v>1.1.13.1.9</v>
      </c>
      <c r="D281" t="str">
        <f t="shared" si="19"/>
        <v>Berubah</v>
      </c>
      <c r="E281" t="str">
        <f t="shared" si="20"/>
        <v>1.3.1.01.03.01.009</v>
      </c>
      <c r="F281">
        <v>276</v>
      </c>
      <c r="G281" s="9">
        <v>1</v>
      </c>
      <c r="H281" s="9">
        <v>3</v>
      </c>
      <c r="I281" s="9">
        <v>1</v>
      </c>
      <c r="J281" s="10" t="s">
        <v>13</v>
      </c>
      <c r="K281" s="10" t="s">
        <v>24</v>
      </c>
      <c r="L281" s="10" t="s">
        <v>13</v>
      </c>
      <c r="M281" s="10" t="s">
        <v>40</v>
      </c>
      <c r="N281" s="18" t="s">
        <v>337</v>
      </c>
      <c r="O281" t="b">
        <f t="shared" si="21"/>
        <v>1</v>
      </c>
      <c r="R281">
        <v>276</v>
      </c>
      <c r="S281" s="41">
        <v>1</v>
      </c>
      <c r="T281" s="41">
        <v>1</v>
      </c>
      <c r="U281" s="41">
        <v>13</v>
      </c>
      <c r="V281" s="41">
        <v>1</v>
      </c>
      <c r="W281" s="41">
        <v>9</v>
      </c>
      <c r="X281" s="16" t="s">
        <v>337</v>
      </c>
      <c r="Y281" s="17" t="s">
        <v>153</v>
      </c>
      <c r="Z281" s="17">
        <v>11</v>
      </c>
    </row>
    <row r="282" spans="2:26" ht="15.75" x14ac:dyDescent="0.25">
      <c r="B282" t="s">
        <v>709</v>
      </c>
      <c r="C282" t="str">
        <f t="shared" si="18"/>
        <v>1.1.13.1.10</v>
      </c>
      <c r="D282" t="str">
        <f t="shared" si="19"/>
        <v>Berubah</v>
      </c>
      <c r="E282" t="str">
        <f t="shared" si="20"/>
        <v>1.3.1.01.03.01.010</v>
      </c>
      <c r="F282">
        <v>277</v>
      </c>
      <c r="G282" s="9">
        <v>1</v>
      </c>
      <c r="H282" s="9">
        <v>3</v>
      </c>
      <c r="I282" s="9">
        <v>1</v>
      </c>
      <c r="J282" s="10" t="s">
        <v>13</v>
      </c>
      <c r="K282" s="10" t="s">
        <v>24</v>
      </c>
      <c r="L282" s="10" t="s">
        <v>13</v>
      </c>
      <c r="M282" s="10" t="s">
        <v>43</v>
      </c>
      <c r="N282" s="18" t="s">
        <v>338</v>
      </c>
      <c r="O282" t="b">
        <f t="shared" si="21"/>
        <v>1</v>
      </c>
      <c r="R282">
        <v>277</v>
      </c>
      <c r="S282" s="41">
        <v>1</v>
      </c>
      <c r="T282" s="41">
        <v>1</v>
      </c>
      <c r="U282" s="41">
        <v>13</v>
      </c>
      <c r="V282" s="41">
        <v>1</v>
      </c>
      <c r="W282" s="41">
        <v>10</v>
      </c>
      <c r="X282" s="16" t="s">
        <v>338</v>
      </c>
      <c r="Y282" s="17" t="s">
        <v>153</v>
      </c>
      <c r="Z282" s="17">
        <v>12</v>
      </c>
    </row>
    <row r="283" spans="2:26" ht="15.75" x14ac:dyDescent="0.25">
      <c r="B283" t="s">
        <v>710</v>
      </c>
      <c r="C283" t="str">
        <f t="shared" si="18"/>
        <v>1.1.13.1.11</v>
      </c>
      <c r="D283" t="str">
        <f t="shared" si="19"/>
        <v>Berubah</v>
      </c>
      <c r="E283" t="str">
        <f t="shared" si="20"/>
        <v>1.3.1.01.03.01.011</v>
      </c>
      <c r="F283">
        <v>278</v>
      </c>
      <c r="G283" s="9">
        <v>1</v>
      </c>
      <c r="H283" s="9">
        <v>3</v>
      </c>
      <c r="I283" s="9">
        <v>1</v>
      </c>
      <c r="J283" s="10" t="s">
        <v>13</v>
      </c>
      <c r="K283" s="10" t="s">
        <v>24</v>
      </c>
      <c r="L283" s="10" t="s">
        <v>13</v>
      </c>
      <c r="M283" s="10" t="s">
        <v>46</v>
      </c>
      <c r="N283" s="18" t="s">
        <v>339</v>
      </c>
      <c r="O283" t="b">
        <f t="shared" si="21"/>
        <v>1</v>
      </c>
      <c r="R283">
        <v>278</v>
      </c>
      <c r="S283" s="41">
        <v>1</v>
      </c>
      <c r="T283" s="41">
        <v>1</v>
      </c>
      <c r="U283" s="41">
        <v>13</v>
      </c>
      <c r="V283" s="41">
        <v>1</v>
      </c>
      <c r="W283" s="41">
        <v>11</v>
      </c>
      <c r="X283" s="16" t="s">
        <v>339</v>
      </c>
      <c r="Y283" s="17" t="s">
        <v>153</v>
      </c>
      <c r="Z283" s="17">
        <v>13</v>
      </c>
    </row>
    <row r="284" spans="2:26" x14ac:dyDescent="0.25">
      <c r="B284" t="s">
        <v>469</v>
      </c>
      <c r="C284" t="str">
        <f t="shared" si="18"/>
        <v>....</v>
      </c>
      <c r="D284" t="str">
        <f t="shared" si="19"/>
        <v>Bertambah</v>
      </c>
      <c r="E284" t="str">
        <f t="shared" si="20"/>
        <v>1.3.1.01.03.01.012</v>
      </c>
      <c r="F284" s="14">
        <v>279</v>
      </c>
      <c r="G284" s="24">
        <v>1</v>
      </c>
      <c r="H284" s="24">
        <v>3</v>
      </c>
      <c r="I284" s="24">
        <v>1</v>
      </c>
      <c r="J284" s="25" t="s">
        <v>13</v>
      </c>
      <c r="K284" s="25" t="s">
        <v>24</v>
      </c>
      <c r="L284" s="25" t="s">
        <v>13</v>
      </c>
      <c r="M284" s="25" t="s">
        <v>49</v>
      </c>
      <c r="N284" s="26" t="s">
        <v>340</v>
      </c>
      <c r="O284" s="14" t="b">
        <f t="shared" si="21"/>
        <v>0</v>
      </c>
      <c r="P284" s="14"/>
      <c r="Q284" s="14"/>
      <c r="R284" s="14">
        <v>279</v>
      </c>
      <c r="S284" s="28"/>
      <c r="T284" s="28"/>
      <c r="U284" s="28"/>
      <c r="V284" s="28"/>
      <c r="W284" s="28"/>
      <c r="X284" s="28"/>
      <c r="Y284" s="28"/>
      <c r="Z284" s="28"/>
    </row>
    <row r="285" spans="2:26" x14ac:dyDescent="0.25">
      <c r="B285" t="s">
        <v>469</v>
      </c>
      <c r="C285" t="str">
        <f t="shared" si="18"/>
        <v>....</v>
      </c>
      <c r="D285" t="str">
        <f t="shared" si="19"/>
        <v>Bertambah</v>
      </c>
      <c r="E285" t="str">
        <f t="shared" si="20"/>
        <v>1.3.1.01.03.01.013</v>
      </c>
      <c r="F285" s="14">
        <v>280</v>
      </c>
      <c r="G285" s="24">
        <v>1</v>
      </c>
      <c r="H285" s="24">
        <v>3</v>
      </c>
      <c r="I285" s="24">
        <v>1</v>
      </c>
      <c r="J285" s="25" t="s">
        <v>13</v>
      </c>
      <c r="K285" s="25" t="s">
        <v>24</v>
      </c>
      <c r="L285" s="25" t="s">
        <v>13</v>
      </c>
      <c r="M285" s="25" t="s">
        <v>66</v>
      </c>
      <c r="N285" s="26" t="s">
        <v>341</v>
      </c>
      <c r="O285" s="14" t="b">
        <f t="shared" si="21"/>
        <v>0</v>
      </c>
      <c r="P285" s="14"/>
      <c r="Q285" s="14"/>
      <c r="R285" s="14">
        <v>280</v>
      </c>
      <c r="S285" s="28"/>
      <c r="T285" s="28"/>
      <c r="U285" s="28"/>
      <c r="V285" s="28"/>
      <c r="W285" s="28"/>
      <c r="X285" s="28"/>
      <c r="Y285" s="28"/>
      <c r="Z285" s="28"/>
    </row>
    <row r="286" spans="2:26" x14ac:dyDescent="0.25">
      <c r="B286" t="s">
        <v>469</v>
      </c>
      <c r="C286" t="str">
        <f t="shared" si="18"/>
        <v>....</v>
      </c>
      <c r="D286" t="str">
        <f t="shared" si="19"/>
        <v>Bertambah</v>
      </c>
      <c r="E286" t="str">
        <f t="shared" si="20"/>
        <v>1.3.1.01.03.01.014</v>
      </c>
      <c r="F286" s="14">
        <v>281</v>
      </c>
      <c r="G286" s="24">
        <v>1</v>
      </c>
      <c r="H286" s="24">
        <v>3</v>
      </c>
      <c r="I286" s="24">
        <v>1</v>
      </c>
      <c r="J286" s="25" t="s">
        <v>13</v>
      </c>
      <c r="K286" s="25" t="s">
        <v>24</v>
      </c>
      <c r="L286" s="25" t="s">
        <v>13</v>
      </c>
      <c r="M286" s="25" t="s">
        <v>68</v>
      </c>
      <c r="N286" s="26" t="s">
        <v>342</v>
      </c>
      <c r="O286" s="14" t="b">
        <f t="shared" si="21"/>
        <v>0</v>
      </c>
      <c r="P286" s="14"/>
      <c r="Q286" s="14"/>
      <c r="R286" s="14">
        <v>281</v>
      </c>
      <c r="S286" s="32"/>
      <c r="T286" s="32"/>
      <c r="U286" s="32"/>
      <c r="V286" s="32"/>
      <c r="W286" s="32"/>
      <c r="X286" s="32"/>
      <c r="Y286" s="32"/>
      <c r="Z286" s="32"/>
    </row>
    <row r="287" spans="2:26" x14ac:dyDescent="0.25">
      <c r="B287" t="s">
        <v>469</v>
      </c>
      <c r="C287" t="str">
        <f t="shared" si="18"/>
        <v>....</v>
      </c>
      <c r="D287" t="str">
        <f t="shared" si="19"/>
        <v>Bertambah</v>
      </c>
      <c r="E287" t="str">
        <f t="shared" si="20"/>
        <v>1.3.1.01.03.01.015</v>
      </c>
      <c r="F287" s="14">
        <v>282</v>
      </c>
      <c r="G287" s="24">
        <v>1</v>
      </c>
      <c r="H287" s="24">
        <v>3</v>
      </c>
      <c r="I287" s="24">
        <v>1</v>
      </c>
      <c r="J287" s="25" t="s">
        <v>13</v>
      </c>
      <c r="K287" s="25" t="s">
        <v>24</v>
      </c>
      <c r="L287" s="25" t="s">
        <v>13</v>
      </c>
      <c r="M287" s="25" t="s">
        <v>71</v>
      </c>
      <c r="N287" s="26" t="s">
        <v>343</v>
      </c>
      <c r="O287" s="14" t="b">
        <f t="shared" si="21"/>
        <v>0</v>
      </c>
      <c r="P287" s="14"/>
      <c r="Q287" s="14"/>
      <c r="R287" s="14">
        <v>282</v>
      </c>
      <c r="S287" s="32"/>
      <c r="T287" s="32"/>
      <c r="U287" s="32"/>
      <c r="V287" s="32"/>
      <c r="W287" s="32"/>
      <c r="X287" s="32"/>
      <c r="Y287" s="32"/>
      <c r="Z287" s="32"/>
    </row>
    <row r="288" spans="2:26" x14ac:dyDescent="0.25">
      <c r="B288" t="s">
        <v>469</v>
      </c>
      <c r="C288" t="str">
        <f t="shared" si="18"/>
        <v>....</v>
      </c>
      <c r="D288" t="str">
        <f t="shared" si="19"/>
        <v>Bertambah</v>
      </c>
      <c r="E288" t="str">
        <f t="shared" si="20"/>
        <v>1.3.1.01.03.01.016</v>
      </c>
      <c r="F288" s="14">
        <v>283</v>
      </c>
      <c r="G288" s="24">
        <v>1</v>
      </c>
      <c r="H288" s="24">
        <v>3</v>
      </c>
      <c r="I288" s="24">
        <v>1</v>
      </c>
      <c r="J288" s="25" t="s">
        <v>13</v>
      </c>
      <c r="K288" s="25" t="s">
        <v>24</v>
      </c>
      <c r="L288" s="25" t="s">
        <v>13</v>
      </c>
      <c r="M288" s="25" t="s">
        <v>94</v>
      </c>
      <c r="N288" s="26" t="s">
        <v>344</v>
      </c>
      <c r="O288" s="14" t="b">
        <f t="shared" si="21"/>
        <v>0</v>
      </c>
      <c r="P288" s="14"/>
      <c r="Q288" s="14"/>
      <c r="R288" s="14">
        <v>283</v>
      </c>
      <c r="S288" s="32"/>
      <c r="T288" s="32"/>
      <c r="U288" s="32"/>
      <c r="V288" s="32"/>
      <c r="W288" s="32"/>
      <c r="X288" s="32"/>
      <c r="Y288" s="32"/>
      <c r="Z288" s="32"/>
    </row>
    <row r="289" spans="2:26" x14ac:dyDescent="0.25">
      <c r="B289" t="s">
        <v>469</v>
      </c>
      <c r="C289" t="str">
        <f t="shared" si="18"/>
        <v>....</v>
      </c>
      <c r="D289" t="str">
        <f t="shared" si="19"/>
        <v>Bertambah</v>
      </c>
      <c r="E289" t="str">
        <f t="shared" si="20"/>
        <v>1.3.1.01.03.01.017</v>
      </c>
      <c r="F289" s="14">
        <v>284</v>
      </c>
      <c r="G289" s="24">
        <v>1</v>
      </c>
      <c r="H289" s="24">
        <v>3</v>
      </c>
      <c r="I289" s="24">
        <v>1</v>
      </c>
      <c r="J289" s="25" t="s">
        <v>13</v>
      </c>
      <c r="K289" s="25" t="s">
        <v>24</v>
      </c>
      <c r="L289" s="25" t="s">
        <v>13</v>
      </c>
      <c r="M289" s="25" t="s">
        <v>96</v>
      </c>
      <c r="N289" s="26" t="s">
        <v>345</v>
      </c>
      <c r="O289" s="14" t="b">
        <f t="shared" si="21"/>
        <v>0</v>
      </c>
      <c r="P289" s="14"/>
      <c r="Q289" s="14"/>
      <c r="R289" s="14">
        <v>284</v>
      </c>
      <c r="S289" s="32"/>
      <c r="T289" s="32"/>
      <c r="U289" s="32"/>
      <c r="V289" s="32"/>
      <c r="W289" s="32"/>
      <c r="X289" s="32"/>
      <c r="Y289" s="32"/>
      <c r="Z289" s="32"/>
    </row>
    <row r="290" spans="2:26" x14ac:dyDescent="0.25">
      <c r="B290" t="s">
        <v>469</v>
      </c>
      <c r="C290" t="str">
        <f t="shared" si="18"/>
        <v>....</v>
      </c>
      <c r="D290" t="str">
        <f t="shared" si="19"/>
        <v>Bertambah</v>
      </c>
      <c r="E290" t="str">
        <f t="shared" si="20"/>
        <v>1.3.1.01.03.01.018</v>
      </c>
      <c r="F290" s="14">
        <v>285</v>
      </c>
      <c r="G290" s="24">
        <v>1</v>
      </c>
      <c r="H290" s="24">
        <v>3</v>
      </c>
      <c r="I290" s="24">
        <v>1</v>
      </c>
      <c r="J290" s="25" t="s">
        <v>13</v>
      </c>
      <c r="K290" s="25" t="s">
        <v>24</v>
      </c>
      <c r="L290" s="25" t="s">
        <v>13</v>
      </c>
      <c r="M290" s="25" t="s">
        <v>98</v>
      </c>
      <c r="N290" s="26" t="s">
        <v>346</v>
      </c>
      <c r="O290" s="14" t="b">
        <f t="shared" si="21"/>
        <v>0</v>
      </c>
      <c r="P290" s="14"/>
      <c r="Q290" s="14"/>
      <c r="R290" s="14">
        <v>285</v>
      </c>
      <c r="S290" s="28"/>
      <c r="T290" s="28"/>
      <c r="U290" s="28"/>
      <c r="V290" s="28"/>
      <c r="W290" s="28"/>
      <c r="X290" s="28"/>
      <c r="Y290" s="28"/>
      <c r="Z290" s="28"/>
    </row>
    <row r="291" spans="2:26" x14ac:dyDescent="0.25">
      <c r="B291" t="s">
        <v>469</v>
      </c>
      <c r="C291" t="str">
        <f t="shared" si="18"/>
        <v>....</v>
      </c>
      <c r="D291" t="str">
        <f t="shared" si="19"/>
        <v>Bertambah</v>
      </c>
      <c r="E291" t="str">
        <f t="shared" si="20"/>
        <v>1.3.1.01.03.01.019</v>
      </c>
      <c r="F291" s="14">
        <v>286</v>
      </c>
      <c r="G291" s="24">
        <v>1</v>
      </c>
      <c r="H291" s="24">
        <v>3</v>
      </c>
      <c r="I291" s="24">
        <v>1</v>
      </c>
      <c r="J291" s="25" t="s">
        <v>13</v>
      </c>
      <c r="K291" s="25" t="s">
        <v>24</v>
      </c>
      <c r="L291" s="25" t="s">
        <v>13</v>
      </c>
      <c r="M291" s="25" t="s">
        <v>100</v>
      </c>
      <c r="N291" s="26" t="s">
        <v>347</v>
      </c>
      <c r="O291" s="14" t="b">
        <f t="shared" si="21"/>
        <v>0</v>
      </c>
      <c r="P291" s="14"/>
      <c r="Q291" s="14"/>
      <c r="R291" s="14">
        <v>286</v>
      </c>
      <c r="S291" s="28"/>
      <c r="T291" s="28"/>
      <c r="U291" s="28"/>
      <c r="V291" s="28"/>
      <c r="W291" s="28"/>
      <c r="X291" s="28"/>
      <c r="Y291" s="28"/>
      <c r="Z291" s="28"/>
    </row>
    <row r="292" spans="2:26" x14ac:dyDescent="0.25">
      <c r="B292" t="s">
        <v>469</v>
      </c>
      <c r="C292" t="str">
        <f t="shared" si="18"/>
        <v>....</v>
      </c>
      <c r="D292" t="str">
        <f t="shared" si="19"/>
        <v>Bertambah</v>
      </c>
      <c r="E292" t="str">
        <f t="shared" si="20"/>
        <v>1.3.1.01.03.01.020</v>
      </c>
      <c r="F292" s="14">
        <v>287</v>
      </c>
      <c r="G292" s="24">
        <v>1</v>
      </c>
      <c r="H292" s="24">
        <v>3</v>
      </c>
      <c r="I292" s="24">
        <v>1</v>
      </c>
      <c r="J292" s="25" t="s">
        <v>13</v>
      </c>
      <c r="K292" s="25" t="s">
        <v>24</v>
      </c>
      <c r="L292" s="25" t="s">
        <v>13</v>
      </c>
      <c r="M292" s="25" t="s">
        <v>102</v>
      </c>
      <c r="N292" s="26" t="s">
        <v>348</v>
      </c>
      <c r="O292" s="14" t="b">
        <f t="shared" si="21"/>
        <v>0</v>
      </c>
      <c r="P292" s="14"/>
      <c r="Q292" s="14"/>
      <c r="R292" s="14">
        <v>287</v>
      </c>
      <c r="S292" s="28"/>
      <c r="T292" s="28"/>
      <c r="U292" s="28"/>
      <c r="V292" s="28"/>
      <c r="W292" s="28"/>
      <c r="X292" s="28"/>
      <c r="Y292" s="28"/>
      <c r="Z292" s="28"/>
    </row>
    <row r="293" spans="2:26" x14ac:dyDescent="0.25">
      <c r="B293" t="s">
        <v>469</v>
      </c>
      <c r="C293" t="str">
        <f t="shared" si="18"/>
        <v>....</v>
      </c>
      <c r="D293" t="str">
        <f t="shared" si="19"/>
        <v>Bertambah</v>
      </c>
      <c r="E293" t="str">
        <f t="shared" si="20"/>
        <v>1.3.1.01.03.01.021</v>
      </c>
      <c r="F293" s="14">
        <v>288</v>
      </c>
      <c r="G293" s="24">
        <v>1</v>
      </c>
      <c r="H293" s="24">
        <v>3</v>
      </c>
      <c r="I293" s="24">
        <v>1</v>
      </c>
      <c r="J293" s="25" t="s">
        <v>13</v>
      </c>
      <c r="K293" s="25" t="s">
        <v>24</v>
      </c>
      <c r="L293" s="25" t="s">
        <v>13</v>
      </c>
      <c r="M293" s="25" t="s">
        <v>104</v>
      </c>
      <c r="N293" s="26" t="s">
        <v>349</v>
      </c>
      <c r="O293" s="14" t="b">
        <f t="shared" si="21"/>
        <v>0</v>
      </c>
      <c r="P293" s="14"/>
      <c r="Q293" s="14"/>
      <c r="R293" s="14">
        <v>288</v>
      </c>
      <c r="S293" s="28"/>
      <c r="T293" s="28"/>
      <c r="U293" s="28"/>
      <c r="V293" s="28"/>
      <c r="W293" s="28"/>
      <c r="X293" s="28"/>
      <c r="Y293" s="28"/>
      <c r="Z293" s="28"/>
    </row>
    <row r="294" spans="2:26" x14ac:dyDescent="0.25">
      <c r="B294" t="s">
        <v>469</v>
      </c>
      <c r="C294" t="str">
        <f t="shared" si="18"/>
        <v>....</v>
      </c>
      <c r="D294" t="str">
        <f t="shared" si="19"/>
        <v>Bertambah</v>
      </c>
      <c r="E294" t="str">
        <f t="shared" si="20"/>
        <v>1.3.1.01.03.01.022</v>
      </c>
      <c r="F294" s="14">
        <v>289</v>
      </c>
      <c r="G294" s="24">
        <v>1</v>
      </c>
      <c r="H294" s="24">
        <v>3</v>
      </c>
      <c r="I294" s="24">
        <v>1</v>
      </c>
      <c r="J294" s="25" t="s">
        <v>13</v>
      </c>
      <c r="K294" s="25" t="s">
        <v>24</v>
      </c>
      <c r="L294" s="25" t="s">
        <v>13</v>
      </c>
      <c r="M294" s="25" t="s">
        <v>107</v>
      </c>
      <c r="N294" s="26" t="s">
        <v>350</v>
      </c>
      <c r="O294" s="14" t="b">
        <f t="shared" si="21"/>
        <v>0</v>
      </c>
      <c r="P294" s="14"/>
      <c r="Q294" s="14"/>
      <c r="R294" s="14">
        <v>289</v>
      </c>
      <c r="S294" s="28"/>
      <c r="T294" s="28"/>
      <c r="U294" s="28"/>
      <c r="V294" s="28"/>
      <c r="W294" s="28"/>
      <c r="X294" s="28"/>
      <c r="Y294" s="28"/>
      <c r="Z294" s="28"/>
    </row>
    <row r="295" spans="2:26" x14ac:dyDescent="0.25">
      <c r="B295" t="s">
        <v>469</v>
      </c>
      <c r="C295" t="str">
        <f t="shared" si="18"/>
        <v>....</v>
      </c>
      <c r="D295" t="str">
        <f t="shared" si="19"/>
        <v>Bertambah</v>
      </c>
      <c r="E295" t="str">
        <f t="shared" si="20"/>
        <v>1.3.1.01.03.01.023</v>
      </c>
      <c r="F295" s="14">
        <v>290</v>
      </c>
      <c r="G295" s="24">
        <v>1</v>
      </c>
      <c r="H295" s="24">
        <v>3</v>
      </c>
      <c r="I295" s="24">
        <v>1</v>
      </c>
      <c r="J295" s="25" t="s">
        <v>13</v>
      </c>
      <c r="K295" s="25" t="s">
        <v>24</v>
      </c>
      <c r="L295" s="25" t="s">
        <v>13</v>
      </c>
      <c r="M295" s="25" t="s">
        <v>110</v>
      </c>
      <c r="N295" s="26" t="s">
        <v>351</v>
      </c>
      <c r="O295" s="14" t="b">
        <f t="shared" si="21"/>
        <v>0</v>
      </c>
      <c r="P295" s="14"/>
      <c r="Q295" s="14"/>
      <c r="R295" s="14">
        <v>290</v>
      </c>
      <c r="S295" s="28"/>
      <c r="T295" s="28"/>
      <c r="U295" s="28"/>
      <c r="V295" s="28"/>
      <c r="W295" s="28"/>
      <c r="X295" s="28"/>
      <c r="Y295" s="28"/>
      <c r="Z295" s="28"/>
    </row>
    <row r="296" spans="2:26" x14ac:dyDescent="0.25">
      <c r="B296" t="s">
        <v>469</v>
      </c>
      <c r="C296" t="str">
        <f t="shared" si="18"/>
        <v>....</v>
      </c>
      <c r="D296" t="str">
        <f t="shared" si="19"/>
        <v>Bertambah</v>
      </c>
      <c r="E296" t="str">
        <f t="shared" si="20"/>
        <v>1.3.1.01.03.01.024</v>
      </c>
      <c r="F296" s="14">
        <v>291</v>
      </c>
      <c r="G296" s="24">
        <v>1</v>
      </c>
      <c r="H296" s="24">
        <v>3</v>
      </c>
      <c r="I296" s="24">
        <v>1</v>
      </c>
      <c r="J296" s="25" t="s">
        <v>13</v>
      </c>
      <c r="K296" s="25" t="s">
        <v>24</v>
      </c>
      <c r="L296" s="25" t="s">
        <v>13</v>
      </c>
      <c r="M296" s="25" t="s">
        <v>112</v>
      </c>
      <c r="N296" s="26" t="s">
        <v>352</v>
      </c>
      <c r="O296" s="14" t="b">
        <f t="shared" si="21"/>
        <v>0</v>
      </c>
      <c r="P296" s="14"/>
      <c r="Q296" s="14"/>
      <c r="R296" s="14">
        <v>291</v>
      </c>
      <c r="S296" s="28"/>
      <c r="T296" s="28"/>
      <c r="U296" s="28"/>
      <c r="V296" s="28"/>
      <c r="W296" s="28"/>
      <c r="X296" s="28"/>
      <c r="Y296" s="28"/>
      <c r="Z296" s="28"/>
    </row>
    <row r="297" spans="2:26" s="1" customFormat="1" ht="15.75" x14ac:dyDescent="0.25">
      <c r="B297" t="s">
        <v>711</v>
      </c>
      <c r="C297" t="str">
        <f t="shared" si="18"/>
        <v>1.1.13.1.12</v>
      </c>
      <c r="D297" t="str">
        <f t="shared" si="19"/>
        <v>Berubah</v>
      </c>
      <c r="E297" t="str">
        <f t="shared" si="20"/>
        <v>1.3.1.01.03.01.025</v>
      </c>
      <c r="F297" s="1">
        <v>292</v>
      </c>
      <c r="G297" s="19">
        <v>1</v>
      </c>
      <c r="H297" s="19">
        <v>3</v>
      </c>
      <c r="I297" s="19">
        <v>1</v>
      </c>
      <c r="J297" s="20" t="s">
        <v>13</v>
      </c>
      <c r="K297" s="20" t="s">
        <v>24</v>
      </c>
      <c r="L297" s="20" t="s">
        <v>13</v>
      </c>
      <c r="M297" s="20" t="s">
        <v>147</v>
      </c>
      <c r="N297" s="21" t="s">
        <v>50</v>
      </c>
      <c r="O297" s="1" t="b">
        <f t="shared" si="21"/>
        <v>0</v>
      </c>
      <c r="R297" s="1">
        <v>292</v>
      </c>
      <c r="S297" s="42">
        <v>1</v>
      </c>
      <c r="T297" s="42">
        <v>1</v>
      </c>
      <c r="U297" s="42">
        <v>13</v>
      </c>
      <c r="V297" s="42">
        <v>1</v>
      </c>
      <c r="W297" s="42">
        <v>12</v>
      </c>
      <c r="X297" s="22" t="s">
        <v>48</v>
      </c>
      <c r="Y297" s="23" t="s">
        <v>153</v>
      </c>
      <c r="Z297" s="23">
        <v>14</v>
      </c>
    </row>
    <row r="298" spans="2:26" ht="15.75" x14ac:dyDescent="0.25">
      <c r="B298" t="s">
        <v>712</v>
      </c>
      <c r="C298" t="str">
        <f t="shared" si="18"/>
        <v>1.1.13.2.0</v>
      </c>
      <c r="D298" t="str">
        <f t="shared" si="19"/>
        <v>Berubah</v>
      </c>
      <c r="E298" t="str">
        <f t="shared" si="20"/>
        <v>1.3.1.01.03.02.</v>
      </c>
      <c r="F298">
        <v>293</v>
      </c>
      <c r="G298" s="9">
        <v>1</v>
      </c>
      <c r="H298" s="9">
        <v>3</v>
      </c>
      <c r="I298" s="9">
        <v>1</v>
      </c>
      <c r="J298" s="10" t="s">
        <v>13</v>
      </c>
      <c r="K298" s="10" t="s">
        <v>24</v>
      </c>
      <c r="L298" s="10" t="s">
        <v>21</v>
      </c>
      <c r="M298" s="10"/>
      <c r="N298" s="18" t="s">
        <v>353</v>
      </c>
      <c r="O298" t="b">
        <f t="shared" si="21"/>
        <v>1</v>
      </c>
      <c r="R298">
        <v>293</v>
      </c>
      <c r="S298" s="41">
        <v>1</v>
      </c>
      <c r="T298" s="41">
        <v>1</v>
      </c>
      <c r="U298" s="41">
        <v>13</v>
      </c>
      <c r="V298" s="41">
        <v>2</v>
      </c>
      <c r="W298" s="41">
        <v>0</v>
      </c>
      <c r="X298" s="16" t="s">
        <v>353</v>
      </c>
      <c r="Y298" s="17" t="s">
        <v>153</v>
      </c>
      <c r="Z298" s="17">
        <v>15</v>
      </c>
    </row>
    <row r="299" spans="2:26" ht="15.75" x14ac:dyDescent="0.25">
      <c r="B299" t="s">
        <v>713</v>
      </c>
      <c r="C299" t="str">
        <f t="shared" si="18"/>
        <v>1.1.13.2.1</v>
      </c>
      <c r="D299" t="str">
        <f t="shared" si="19"/>
        <v>Berubah</v>
      </c>
      <c r="E299" t="str">
        <f t="shared" si="20"/>
        <v>1.3.1.01.03.02.001</v>
      </c>
      <c r="F299">
        <v>294</v>
      </c>
      <c r="G299" s="9">
        <v>1</v>
      </c>
      <c r="H299" s="9">
        <v>3</v>
      </c>
      <c r="I299" s="9">
        <v>1</v>
      </c>
      <c r="J299" s="10" t="s">
        <v>13</v>
      </c>
      <c r="K299" s="10" t="s">
        <v>24</v>
      </c>
      <c r="L299" s="10" t="s">
        <v>21</v>
      </c>
      <c r="M299" s="10" t="s">
        <v>17</v>
      </c>
      <c r="N299" s="18" t="s">
        <v>354</v>
      </c>
      <c r="O299" t="b">
        <f t="shared" si="21"/>
        <v>1</v>
      </c>
      <c r="R299">
        <v>294</v>
      </c>
      <c r="S299" s="41">
        <v>1</v>
      </c>
      <c r="T299" s="41">
        <v>1</v>
      </c>
      <c r="U299" s="41">
        <v>13</v>
      </c>
      <c r="V299" s="41">
        <v>2</v>
      </c>
      <c r="W299" s="41">
        <v>1</v>
      </c>
      <c r="X299" s="16" t="s">
        <v>354</v>
      </c>
      <c r="Y299" s="17" t="s">
        <v>153</v>
      </c>
      <c r="Z299" s="17">
        <v>16</v>
      </c>
    </row>
    <row r="300" spans="2:26" ht="15.75" x14ac:dyDescent="0.25">
      <c r="B300" t="s">
        <v>714</v>
      </c>
      <c r="C300" t="str">
        <f t="shared" si="18"/>
        <v>1.1.13.2.2</v>
      </c>
      <c r="D300" t="str">
        <f t="shared" si="19"/>
        <v>Berubah</v>
      </c>
      <c r="E300" t="str">
        <f t="shared" si="20"/>
        <v>1.3.1.01.03.02.002</v>
      </c>
      <c r="F300">
        <v>295</v>
      </c>
      <c r="G300" s="9">
        <v>1</v>
      </c>
      <c r="H300" s="9">
        <v>3</v>
      </c>
      <c r="I300" s="9">
        <v>1</v>
      </c>
      <c r="J300" s="10" t="s">
        <v>13</v>
      </c>
      <c r="K300" s="10" t="s">
        <v>24</v>
      </c>
      <c r="L300" s="10" t="s">
        <v>21</v>
      </c>
      <c r="M300" s="10" t="s">
        <v>19</v>
      </c>
      <c r="N300" s="18" t="s">
        <v>355</v>
      </c>
      <c r="O300" t="b">
        <f t="shared" si="21"/>
        <v>1</v>
      </c>
      <c r="R300">
        <v>295</v>
      </c>
      <c r="S300" s="41">
        <v>1</v>
      </c>
      <c r="T300" s="41">
        <v>1</v>
      </c>
      <c r="U300" s="41">
        <v>13</v>
      </c>
      <c r="V300" s="41">
        <v>2</v>
      </c>
      <c r="W300" s="41">
        <v>2</v>
      </c>
      <c r="X300" s="16" t="s">
        <v>355</v>
      </c>
      <c r="Y300" s="17" t="s">
        <v>153</v>
      </c>
      <c r="Z300" s="17">
        <v>17</v>
      </c>
    </row>
    <row r="301" spans="2:26" ht="15.75" x14ac:dyDescent="0.25">
      <c r="B301" t="s">
        <v>715</v>
      </c>
      <c r="C301" t="str">
        <f t="shared" si="18"/>
        <v>1.1.13.2.3</v>
      </c>
      <c r="D301" t="str">
        <f t="shared" si="19"/>
        <v>Berubah</v>
      </c>
      <c r="E301" t="str">
        <f t="shared" si="20"/>
        <v>1.3.1.01.03.02.003</v>
      </c>
      <c r="F301">
        <v>296</v>
      </c>
      <c r="G301" s="9">
        <v>1</v>
      </c>
      <c r="H301" s="9">
        <v>3</v>
      </c>
      <c r="I301" s="9">
        <v>1</v>
      </c>
      <c r="J301" s="10" t="s">
        <v>13</v>
      </c>
      <c r="K301" s="10" t="s">
        <v>24</v>
      </c>
      <c r="L301" s="10" t="s">
        <v>21</v>
      </c>
      <c r="M301" s="10" t="s">
        <v>22</v>
      </c>
      <c r="N301" s="18" t="s">
        <v>356</v>
      </c>
      <c r="O301" t="b">
        <f t="shared" si="21"/>
        <v>1</v>
      </c>
      <c r="R301">
        <v>296</v>
      </c>
      <c r="S301" s="41">
        <v>1</v>
      </c>
      <c r="T301" s="41">
        <v>1</v>
      </c>
      <c r="U301" s="41">
        <v>13</v>
      </c>
      <c r="V301" s="41">
        <v>2</v>
      </c>
      <c r="W301" s="41">
        <v>3</v>
      </c>
      <c r="X301" s="16" t="s">
        <v>356</v>
      </c>
      <c r="Y301" s="17" t="s">
        <v>153</v>
      </c>
      <c r="Z301" s="17">
        <v>18</v>
      </c>
    </row>
    <row r="302" spans="2:26" ht="15.75" x14ac:dyDescent="0.25">
      <c r="B302" t="s">
        <v>716</v>
      </c>
      <c r="C302" t="str">
        <f t="shared" si="18"/>
        <v>1.1.13.2.4</v>
      </c>
      <c r="D302" t="str">
        <f t="shared" si="19"/>
        <v>Berubah</v>
      </c>
      <c r="E302" t="str">
        <f t="shared" si="20"/>
        <v>1.3.1.01.03.02.004</v>
      </c>
      <c r="F302">
        <v>297</v>
      </c>
      <c r="G302" s="9">
        <v>1</v>
      </c>
      <c r="H302" s="9">
        <v>3</v>
      </c>
      <c r="I302" s="9">
        <v>1</v>
      </c>
      <c r="J302" s="10" t="s">
        <v>13</v>
      </c>
      <c r="K302" s="10" t="s">
        <v>24</v>
      </c>
      <c r="L302" s="10" t="s">
        <v>21</v>
      </c>
      <c r="M302" s="10" t="s">
        <v>25</v>
      </c>
      <c r="N302" s="18" t="s">
        <v>357</v>
      </c>
      <c r="O302" t="b">
        <f t="shared" si="21"/>
        <v>1</v>
      </c>
      <c r="R302">
        <v>297</v>
      </c>
      <c r="S302" s="41">
        <v>1</v>
      </c>
      <c r="T302" s="41">
        <v>1</v>
      </c>
      <c r="U302" s="41">
        <v>13</v>
      </c>
      <c r="V302" s="41">
        <v>2</v>
      </c>
      <c r="W302" s="41">
        <v>4</v>
      </c>
      <c r="X302" s="16" t="s">
        <v>357</v>
      </c>
      <c r="Y302" s="17" t="s">
        <v>153</v>
      </c>
      <c r="Z302" s="17">
        <v>19</v>
      </c>
    </row>
    <row r="303" spans="2:26" ht="15.75" x14ac:dyDescent="0.25">
      <c r="B303" t="s">
        <v>717</v>
      </c>
      <c r="C303" t="str">
        <f t="shared" si="18"/>
        <v>1.1.13.2.5</v>
      </c>
      <c r="D303" t="str">
        <f t="shared" si="19"/>
        <v>Berubah</v>
      </c>
      <c r="E303" t="str">
        <f t="shared" si="20"/>
        <v>1.3.1.01.03.02.005</v>
      </c>
      <c r="F303">
        <v>298</v>
      </c>
      <c r="G303" s="9">
        <v>1</v>
      </c>
      <c r="H303" s="9">
        <v>3</v>
      </c>
      <c r="I303" s="9">
        <v>1</v>
      </c>
      <c r="J303" s="10" t="s">
        <v>13</v>
      </c>
      <c r="K303" s="10" t="s">
        <v>24</v>
      </c>
      <c r="L303" s="10" t="s">
        <v>21</v>
      </c>
      <c r="M303" s="10" t="s">
        <v>28</v>
      </c>
      <c r="N303" s="18" t="s">
        <v>358</v>
      </c>
      <c r="O303" t="b">
        <f t="shared" si="21"/>
        <v>1</v>
      </c>
      <c r="R303">
        <v>298</v>
      </c>
      <c r="S303" s="41">
        <v>1</v>
      </c>
      <c r="T303" s="41">
        <v>1</v>
      </c>
      <c r="U303" s="41">
        <v>13</v>
      </c>
      <c r="V303" s="41">
        <v>2</v>
      </c>
      <c r="W303" s="41">
        <v>5</v>
      </c>
      <c r="X303" s="16" t="s">
        <v>358</v>
      </c>
      <c r="Y303" s="17" t="s">
        <v>153</v>
      </c>
      <c r="Z303" s="17">
        <v>20</v>
      </c>
    </row>
    <row r="304" spans="2:26" x14ac:dyDescent="0.25">
      <c r="B304" t="s">
        <v>469</v>
      </c>
      <c r="C304" t="str">
        <f t="shared" si="18"/>
        <v>....</v>
      </c>
      <c r="D304" t="str">
        <f t="shared" si="19"/>
        <v>Bertambah</v>
      </c>
      <c r="E304" t="str">
        <f t="shared" si="20"/>
        <v>1.3.1.01.03.02.006</v>
      </c>
      <c r="F304" s="14">
        <v>299</v>
      </c>
      <c r="G304" s="24">
        <v>1</v>
      </c>
      <c r="H304" s="24">
        <v>3</v>
      </c>
      <c r="I304" s="24">
        <v>1</v>
      </c>
      <c r="J304" s="25" t="s">
        <v>13</v>
      </c>
      <c r="K304" s="25" t="s">
        <v>24</v>
      </c>
      <c r="L304" s="25" t="s">
        <v>21</v>
      </c>
      <c r="M304" s="25" t="s">
        <v>31</v>
      </c>
      <c r="N304" s="26" t="s">
        <v>359</v>
      </c>
      <c r="O304" s="14" t="b">
        <f t="shared" si="21"/>
        <v>0</v>
      </c>
      <c r="P304" s="14"/>
      <c r="Q304" s="14"/>
      <c r="R304" s="14">
        <v>299</v>
      </c>
      <c r="S304" s="28"/>
      <c r="T304" s="28"/>
      <c r="U304" s="28"/>
      <c r="V304" s="28"/>
      <c r="W304" s="28"/>
      <c r="X304" s="28"/>
      <c r="Y304" s="28"/>
      <c r="Z304" s="28"/>
    </row>
    <row r="305" spans="2:26" s="1" customFormat="1" ht="15.75" x14ac:dyDescent="0.25">
      <c r="B305" t="s">
        <v>718</v>
      </c>
      <c r="C305" t="str">
        <f t="shared" si="18"/>
        <v>1.1.13.2.6</v>
      </c>
      <c r="D305" t="str">
        <f t="shared" si="19"/>
        <v>Berubah</v>
      </c>
      <c r="E305" t="str">
        <f t="shared" si="20"/>
        <v>1.3.1.01.03.02.007</v>
      </c>
      <c r="F305" s="1">
        <v>300</v>
      </c>
      <c r="G305" s="19">
        <v>1</v>
      </c>
      <c r="H305" s="19">
        <v>3</v>
      </c>
      <c r="I305" s="19">
        <v>1</v>
      </c>
      <c r="J305" s="20" t="s">
        <v>13</v>
      </c>
      <c r="K305" s="20" t="s">
        <v>24</v>
      </c>
      <c r="L305" s="20" t="s">
        <v>21</v>
      </c>
      <c r="M305" s="20" t="s">
        <v>34</v>
      </c>
      <c r="N305" s="21" t="s">
        <v>50</v>
      </c>
      <c r="O305" s="1" t="b">
        <f t="shared" si="21"/>
        <v>0</v>
      </c>
      <c r="R305" s="1">
        <v>300</v>
      </c>
      <c r="S305" s="42">
        <v>1</v>
      </c>
      <c r="T305" s="42">
        <v>1</v>
      </c>
      <c r="U305" s="42">
        <v>13</v>
      </c>
      <c r="V305" s="42">
        <v>2</v>
      </c>
      <c r="W305" s="42">
        <v>6</v>
      </c>
      <c r="X305" s="22" t="s">
        <v>48</v>
      </c>
      <c r="Y305" s="23" t="s">
        <v>153</v>
      </c>
      <c r="Z305" s="23">
        <v>21</v>
      </c>
    </row>
    <row r="306" spans="2:26" ht="15.75" x14ac:dyDescent="0.25">
      <c r="B306" t="s">
        <v>719</v>
      </c>
      <c r="C306" t="str">
        <f t="shared" si="18"/>
        <v>1.1.13.3.0</v>
      </c>
      <c r="D306" t="str">
        <f t="shared" si="19"/>
        <v>Berubah</v>
      </c>
      <c r="E306" t="str">
        <f t="shared" si="20"/>
        <v>1.3.1.01.03.03.</v>
      </c>
      <c r="F306">
        <v>301</v>
      </c>
      <c r="G306" s="9">
        <v>1</v>
      </c>
      <c r="H306" s="9">
        <v>3</v>
      </c>
      <c r="I306" s="9">
        <v>1</v>
      </c>
      <c r="J306" s="10" t="s">
        <v>13</v>
      </c>
      <c r="K306" s="10" t="s">
        <v>24</v>
      </c>
      <c r="L306" s="10" t="s">
        <v>24</v>
      </c>
      <c r="M306" s="10"/>
      <c r="N306" s="18" t="s">
        <v>360</v>
      </c>
      <c r="O306" t="b">
        <f t="shared" si="21"/>
        <v>1</v>
      </c>
      <c r="R306">
        <v>301</v>
      </c>
      <c r="S306" s="41">
        <v>1</v>
      </c>
      <c r="T306" s="41">
        <v>1</v>
      </c>
      <c r="U306" s="41">
        <v>13</v>
      </c>
      <c r="V306" s="41">
        <v>3</v>
      </c>
      <c r="W306" s="41">
        <v>0</v>
      </c>
      <c r="X306" s="16" t="s">
        <v>360</v>
      </c>
      <c r="Y306" s="17" t="s">
        <v>153</v>
      </c>
      <c r="Z306" s="17">
        <v>22</v>
      </c>
    </row>
    <row r="307" spans="2:26" ht="15.75" x14ac:dyDescent="0.25">
      <c r="B307" t="s">
        <v>720</v>
      </c>
      <c r="C307" t="str">
        <f t="shared" si="18"/>
        <v>1.1.13.3.1</v>
      </c>
      <c r="D307" t="str">
        <f t="shared" si="19"/>
        <v>Berubah</v>
      </c>
      <c r="E307" t="str">
        <f t="shared" si="20"/>
        <v>1.3.1.01.03.03.001</v>
      </c>
      <c r="F307">
        <v>302</v>
      </c>
      <c r="G307" s="9">
        <v>1</v>
      </c>
      <c r="H307" s="9">
        <v>3</v>
      </c>
      <c r="I307" s="9">
        <v>1</v>
      </c>
      <c r="J307" s="10" t="s">
        <v>13</v>
      </c>
      <c r="K307" s="10" t="s">
        <v>24</v>
      </c>
      <c r="L307" s="10" t="s">
        <v>24</v>
      </c>
      <c r="M307" s="10" t="s">
        <v>17</v>
      </c>
      <c r="N307" s="18" t="s">
        <v>361</v>
      </c>
      <c r="O307" t="b">
        <f t="shared" si="21"/>
        <v>1</v>
      </c>
      <c r="R307">
        <v>302</v>
      </c>
      <c r="S307" s="41">
        <v>1</v>
      </c>
      <c r="T307" s="41">
        <v>1</v>
      </c>
      <c r="U307" s="41">
        <v>13</v>
      </c>
      <c r="V307" s="41">
        <v>3</v>
      </c>
      <c r="W307" s="41">
        <v>1</v>
      </c>
      <c r="X307" s="16" t="s">
        <v>361</v>
      </c>
      <c r="Y307" s="17" t="s">
        <v>153</v>
      </c>
      <c r="Z307" s="17">
        <v>23</v>
      </c>
    </row>
    <row r="308" spans="2:26" ht="15.75" x14ac:dyDescent="0.25">
      <c r="B308" t="s">
        <v>721</v>
      </c>
      <c r="C308" t="str">
        <f t="shared" si="18"/>
        <v>1.1.13.3.2</v>
      </c>
      <c r="D308" t="str">
        <f t="shared" si="19"/>
        <v>Berubah</v>
      </c>
      <c r="E308" t="str">
        <f t="shared" si="20"/>
        <v>1.3.1.01.03.03.002</v>
      </c>
      <c r="F308">
        <v>303</v>
      </c>
      <c r="G308" s="9">
        <v>1</v>
      </c>
      <c r="H308" s="9">
        <v>3</v>
      </c>
      <c r="I308" s="9">
        <v>1</v>
      </c>
      <c r="J308" s="10" t="s">
        <v>13</v>
      </c>
      <c r="K308" s="10" t="s">
        <v>24</v>
      </c>
      <c r="L308" s="10" t="s">
        <v>24</v>
      </c>
      <c r="M308" s="10" t="s">
        <v>19</v>
      </c>
      <c r="N308" s="18" t="s">
        <v>362</v>
      </c>
      <c r="O308" t="b">
        <f t="shared" si="21"/>
        <v>1</v>
      </c>
      <c r="R308">
        <v>303</v>
      </c>
      <c r="S308" s="41">
        <v>1</v>
      </c>
      <c r="T308" s="41">
        <v>1</v>
      </c>
      <c r="U308" s="41">
        <v>13</v>
      </c>
      <c r="V308" s="41">
        <v>3</v>
      </c>
      <c r="W308" s="41">
        <v>2</v>
      </c>
      <c r="X308" s="16" t="s">
        <v>362</v>
      </c>
      <c r="Y308" s="17" t="s">
        <v>153</v>
      </c>
      <c r="Z308" s="17">
        <v>24</v>
      </c>
    </row>
    <row r="309" spans="2:26" ht="15.75" x14ac:dyDescent="0.25">
      <c r="B309" t="s">
        <v>722</v>
      </c>
      <c r="C309" t="str">
        <f t="shared" si="18"/>
        <v>1.1.13.3.3</v>
      </c>
      <c r="D309" t="str">
        <f t="shared" si="19"/>
        <v>Berubah</v>
      </c>
      <c r="E309" t="str">
        <f t="shared" si="20"/>
        <v>1.3.1.01.03.03.003</v>
      </c>
      <c r="F309">
        <v>304</v>
      </c>
      <c r="G309" s="9">
        <v>1</v>
      </c>
      <c r="H309" s="9">
        <v>3</v>
      </c>
      <c r="I309" s="9">
        <v>1</v>
      </c>
      <c r="J309" s="10" t="s">
        <v>13</v>
      </c>
      <c r="K309" s="10" t="s">
        <v>24</v>
      </c>
      <c r="L309" s="10" t="s">
        <v>24</v>
      </c>
      <c r="M309" s="10" t="s">
        <v>22</v>
      </c>
      <c r="N309" s="18" t="s">
        <v>363</v>
      </c>
      <c r="O309" t="b">
        <f t="shared" si="21"/>
        <v>1</v>
      </c>
      <c r="R309">
        <v>304</v>
      </c>
      <c r="S309" s="41">
        <v>1</v>
      </c>
      <c r="T309" s="41">
        <v>1</v>
      </c>
      <c r="U309" s="41">
        <v>13</v>
      </c>
      <c r="V309" s="41">
        <v>3</v>
      </c>
      <c r="W309" s="41">
        <v>3</v>
      </c>
      <c r="X309" s="16" t="s">
        <v>363</v>
      </c>
      <c r="Y309" s="17" t="s">
        <v>153</v>
      </c>
      <c r="Z309" s="17">
        <v>25</v>
      </c>
    </row>
    <row r="310" spans="2:26" ht="15.75" x14ac:dyDescent="0.25">
      <c r="B310" t="s">
        <v>723</v>
      </c>
      <c r="C310" t="str">
        <f t="shared" si="18"/>
        <v>1.1.13.3.4</v>
      </c>
      <c r="D310" t="str">
        <f t="shared" si="19"/>
        <v>Berubah</v>
      </c>
      <c r="E310" t="str">
        <f t="shared" si="20"/>
        <v>1.3.1.01.03.03.004</v>
      </c>
      <c r="F310">
        <v>305</v>
      </c>
      <c r="G310" s="9">
        <v>1</v>
      </c>
      <c r="H310" s="9">
        <v>3</v>
      </c>
      <c r="I310" s="9">
        <v>1</v>
      </c>
      <c r="J310" s="10" t="s">
        <v>13</v>
      </c>
      <c r="K310" s="10" t="s">
        <v>24</v>
      </c>
      <c r="L310" s="10" t="s">
        <v>24</v>
      </c>
      <c r="M310" s="10" t="s">
        <v>25</v>
      </c>
      <c r="N310" s="18" t="s">
        <v>364</v>
      </c>
      <c r="O310" t="b">
        <f t="shared" si="21"/>
        <v>1</v>
      </c>
      <c r="R310">
        <v>305</v>
      </c>
      <c r="S310" s="41">
        <v>1</v>
      </c>
      <c r="T310" s="41">
        <v>1</v>
      </c>
      <c r="U310" s="41">
        <v>13</v>
      </c>
      <c r="V310" s="41">
        <v>3</v>
      </c>
      <c r="W310" s="41">
        <v>4</v>
      </c>
      <c r="X310" s="16" t="s">
        <v>364</v>
      </c>
      <c r="Y310" s="17" t="s">
        <v>153</v>
      </c>
      <c r="Z310" s="17">
        <v>26</v>
      </c>
    </row>
    <row r="311" spans="2:26" ht="15.75" x14ac:dyDescent="0.25">
      <c r="B311" t="s">
        <v>724</v>
      </c>
      <c r="C311" t="str">
        <f t="shared" si="18"/>
        <v>1.1.13.3.5</v>
      </c>
      <c r="D311" t="str">
        <f t="shared" si="19"/>
        <v>Berubah</v>
      </c>
      <c r="E311" t="str">
        <f t="shared" si="20"/>
        <v>1.3.1.01.03.03.005</v>
      </c>
      <c r="F311">
        <v>306</v>
      </c>
      <c r="G311" s="9">
        <v>1</v>
      </c>
      <c r="H311" s="9">
        <v>3</v>
      </c>
      <c r="I311" s="9">
        <v>1</v>
      </c>
      <c r="J311" s="10" t="s">
        <v>13</v>
      </c>
      <c r="K311" s="10" t="s">
        <v>24</v>
      </c>
      <c r="L311" s="10" t="s">
        <v>24</v>
      </c>
      <c r="M311" s="10" t="s">
        <v>28</v>
      </c>
      <c r="N311" s="18" t="s">
        <v>365</v>
      </c>
      <c r="O311" t="b">
        <f t="shared" si="21"/>
        <v>1</v>
      </c>
      <c r="R311">
        <v>306</v>
      </c>
      <c r="S311" s="41">
        <v>1</v>
      </c>
      <c r="T311" s="41">
        <v>1</v>
      </c>
      <c r="U311" s="41">
        <v>13</v>
      </c>
      <c r="V311" s="41">
        <v>3</v>
      </c>
      <c r="W311" s="41">
        <v>5</v>
      </c>
      <c r="X311" s="16" t="s">
        <v>365</v>
      </c>
      <c r="Y311" s="17" t="s">
        <v>153</v>
      </c>
      <c r="Z311" s="17">
        <v>27</v>
      </c>
    </row>
    <row r="312" spans="2:26" x14ac:dyDescent="0.25">
      <c r="B312" t="s">
        <v>469</v>
      </c>
      <c r="C312" t="str">
        <f t="shared" si="18"/>
        <v>....</v>
      </c>
      <c r="D312" t="str">
        <f t="shared" si="19"/>
        <v>Bertambah</v>
      </c>
      <c r="E312" t="str">
        <f t="shared" si="20"/>
        <v>1.3.1.01.03.03.006</v>
      </c>
      <c r="F312" s="14">
        <v>307</v>
      </c>
      <c r="G312" s="24">
        <v>1</v>
      </c>
      <c r="H312" s="24">
        <v>3</v>
      </c>
      <c r="I312" s="24">
        <v>1</v>
      </c>
      <c r="J312" s="25" t="s">
        <v>13</v>
      </c>
      <c r="K312" s="25" t="s">
        <v>24</v>
      </c>
      <c r="L312" s="25" t="s">
        <v>24</v>
      </c>
      <c r="M312" s="25" t="s">
        <v>31</v>
      </c>
      <c r="N312" s="26" t="s">
        <v>366</v>
      </c>
      <c r="O312" s="14" t="b">
        <f t="shared" si="21"/>
        <v>0</v>
      </c>
      <c r="P312" s="14"/>
      <c r="Q312" s="14"/>
      <c r="R312" s="14">
        <v>307</v>
      </c>
      <c r="S312" s="28"/>
      <c r="T312" s="28"/>
      <c r="U312" s="28"/>
      <c r="V312" s="28"/>
      <c r="W312" s="28"/>
      <c r="X312" s="28"/>
      <c r="Y312" s="28"/>
      <c r="Z312" s="28"/>
    </row>
    <row r="313" spans="2:26" x14ac:dyDescent="0.25">
      <c r="B313" t="s">
        <v>469</v>
      </c>
      <c r="C313" t="str">
        <f t="shared" si="18"/>
        <v>....</v>
      </c>
      <c r="D313" t="str">
        <f t="shared" si="19"/>
        <v>Bertambah</v>
      </c>
      <c r="E313" t="str">
        <f t="shared" si="20"/>
        <v>1.3.1.01.03.03.007</v>
      </c>
      <c r="F313" s="14">
        <v>308</v>
      </c>
      <c r="G313" s="24">
        <v>1</v>
      </c>
      <c r="H313" s="24">
        <v>3</v>
      </c>
      <c r="I313" s="24">
        <v>1</v>
      </c>
      <c r="J313" s="25" t="s">
        <v>13</v>
      </c>
      <c r="K313" s="25" t="s">
        <v>24</v>
      </c>
      <c r="L313" s="25" t="s">
        <v>24</v>
      </c>
      <c r="M313" s="25" t="s">
        <v>34</v>
      </c>
      <c r="N313" s="26" t="s">
        <v>367</v>
      </c>
      <c r="O313" s="14" t="b">
        <f t="shared" si="21"/>
        <v>0</v>
      </c>
      <c r="P313" s="14"/>
      <c r="Q313" s="14"/>
      <c r="R313" s="14">
        <v>308</v>
      </c>
      <c r="S313" s="32"/>
      <c r="T313" s="32"/>
      <c r="U313" s="32"/>
      <c r="V313" s="32"/>
      <c r="W313" s="32"/>
      <c r="X313" s="32"/>
      <c r="Y313" s="32"/>
      <c r="Z313" s="32"/>
    </row>
    <row r="314" spans="2:26" x14ac:dyDescent="0.25">
      <c r="B314" t="s">
        <v>469</v>
      </c>
      <c r="C314" t="str">
        <f t="shared" si="18"/>
        <v>....</v>
      </c>
      <c r="D314" t="str">
        <f t="shared" si="19"/>
        <v>Bertambah</v>
      </c>
      <c r="E314" t="str">
        <f t="shared" si="20"/>
        <v>1.3.1.01.03.03.008</v>
      </c>
      <c r="F314" s="14">
        <v>309</v>
      </c>
      <c r="G314" s="24">
        <v>1</v>
      </c>
      <c r="H314" s="24">
        <v>3</v>
      </c>
      <c r="I314" s="24">
        <v>1</v>
      </c>
      <c r="J314" s="25" t="s">
        <v>13</v>
      </c>
      <c r="K314" s="25" t="s">
        <v>24</v>
      </c>
      <c r="L314" s="25" t="s">
        <v>24</v>
      </c>
      <c r="M314" s="25" t="s">
        <v>37</v>
      </c>
      <c r="N314" s="26" t="s">
        <v>368</v>
      </c>
      <c r="O314" s="14" t="b">
        <f t="shared" si="21"/>
        <v>0</v>
      </c>
      <c r="P314" s="14"/>
      <c r="Q314" s="14"/>
      <c r="R314" s="14">
        <v>309</v>
      </c>
      <c r="S314" s="32"/>
      <c r="T314" s="32"/>
      <c r="U314" s="32"/>
      <c r="V314" s="32"/>
      <c r="W314" s="32"/>
      <c r="X314" s="32"/>
      <c r="Y314" s="32"/>
      <c r="Z314" s="32"/>
    </row>
    <row r="315" spans="2:26" x14ac:dyDescent="0.25">
      <c r="B315" t="s">
        <v>469</v>
      </c>
      <c r="C315" t="str">
        <f t="shared" si="18"/>
        <v>....</v>
      </c>
      <c r="D315" t="str">
        <f t="shared" si="19"/>
        <v>Bertambah</v>
      </c>
      <c r="E315" t="str">
        <f t="shared" si="20"/>
        <v>1.3.1.01.03.03.009</v>
      </c>
      <c r="F315" s="14">
        <v>310</v>
      </c>
      <c r="G315" s="24">
        <v>1</v>
      </c>
      <c r="H315" s="24">
        <v>3</v>
      </c>
      <c r="I315" s="24">
        <v>1</v>
      </c>
      <c r="J315" s="25" t="s">
        <v>13</v>
      </c>
      <c r="K315" s="25" t="s">
        <v>24</v>
      </c>
      <c r="L315" s="25" t="s">
        <v>24</v>
      </c>
      <c r="M315" s="25" t="s">
        <v>40</v>
      </c>
      <c r="N315" s="26" t="s">
        <v>369</v>
      </c>
      <c r="O315" s="14" t="b">
        <f t="shared" si="21"/>
        <v>0</v>
      </c>
      <c r="P315" s="14"/>
      <c r="Q315" s="14"/>
      <c r="R315" s="14">
        <v>310</v>
      </c>
      <c r="S315" s="28"/>
      <c r="T315" s="28"/>
      <c r="U315" s="28"/>
      <c r="V315" s="28"/>
      <c r="W315" s="28"/>
      <c r="X315" s="28"/>
      <c r="Y315" s="32"/>
      <c r="Z315" s="32"/>
    </row>
    <row r="316" spans="2:26" s="1" customFormat="1" ht="15.75" x14ac:dyDescent="0.25">
      <c r="B316" t="s">
        <v>725</v>
      </c>
      <c r="C316" t="str">
        <f t="shared" si="18"/>
        <v>1.1.13.3.6</v>
      </c>
      <c r="D316" t="str">
        <f t="shared" si="19"/>
        <v>Berubah</v>
      </c>
      <c r="E316" t="str">
        <f t="shared" si="20"/>
        <v>1.3.1.01.03.03.010</v>
      </c>
      <c r="F316" s="1">
        <v>311</v>
      </c>
      <c r="G316" s="19">
        <v>1</v>
      </c>
      <c r="H316" s="19">
        <v>3</v>
      </c>
      <c r="I316" s="19">
        <v>1</v>
      </c>
      <c r="J316" s="20" t="s">
        <v>13</v>
      </c>
      <c r="K316" s="20" t="s">
        <v>24</v>
      </c>
      <c r="L316" s="20" t="s">
        <v>24</v>
      </c>
      <c r="M316" s="20" t="s">
        <v>43</v>
      </c>
      <c r="N316" s="21" t="s">
        <v>50</v>
      </c>
      <c r="O316" s="1" t="b">
        <f t="shared" si="21"/>
        <v>0</v>
      </c>
      <c r="R316" s="1">
        <v>311</v>
      </c>
      <c r="S316" s="42">
        <v>1</v>
      </c>
      <c r="T316" s="42">
        <v>1</v>
      </c>
      <c r="U316" s="42">
        <v>13</v>
      </c>
      <c r="V316" s="42">
        <v>3</v>
      </c>
      <c r="W316" s="42">
        <v>6</v>
      </c>
      <c r="X316" s="22" t="s">
        <v>48</v>
      </c>
      <c r="Y316" s="23" t="s">
        <v>153</v>
      </c>
      <c r="Z316" s="23">
        <v>28</v>
      </c>
    </row>
    <row r="317" spans="2:26" ht="15.75" x14ac:dyDescent="0.25">
      <c r="B317" t="s">
        <v>726</v>
      </c>
      <c r="C317" t="str">
        <f t="shared" si="18"/>
        <v>1.1.13.4.0</v>
      </c>
      <c r="D317" t="str">
        <f t="shared" si="19"/>
        <v>Berubah</v>
      </c>
      <c r="E317" t="str">
        <f t="shared" si="20"/>
        <v>1.3.1.01.03.04.</v>
      </c>
      <c r="F317">
        <v>312</v>
      </c>
      <c r="G317" s="9">
        <v>1</v>
      </c>
      <c r="H317" s="9">
        <v>3</v>
      </c>
      <c r="I317" s="9">
        <v>1</v>
      </c>
      <c r="J317" s="10" t="s">
        <v>13</v>
      </c>
      <c r="K317" s="10" t="s">
        <v>24</v>
      </c>
      <c r="L317" s="10" t="s">
        <v>27</v>
      </c>
      <c r="M317" s="10"/>
      <c r="N317" s="18" t="s">
        <v>370</v>
      </c>
      <c r="O317" t="b">
        <f t="shared" si="21"/>
        <v>1</v>
      </c>
      <c r="R317">
        <v>312</v>
      </c>
      <c r="S317" s="41">
        <v>1</v>
      </c>
      <c r="T317" s="41">
        <v>1</v>
      </c>
      <c r="U317" s="41">
        <v>13</v>
      </c>
      <c r="V317" s="41">
        <v>4</v>
      </c>
      <c r="W317" s="41">
        <v>0</v>
      </c>
      <c r="X317" s="16" t="s">
        <v>370</v>
      </c>
      <c r="Y317" s="17" t="s">
        <v>153</v>
      </c>
      <c r="Z317" s="17">
        <v>29</v>
      </c>
    </row>
    <row r="318" spans="2:26" ht="15.75" x14ac:dyDescent="0.25">
      <c r="B318" t="s">
        <v>727</v>
      </c>
      <c r="C318" t="str">
        <f t="shared" si="18"/>
        <v>1.1.13.4.1</v>
      </c>
      <c r="D318" t="str">
        <f t="shared" si="19"/>
        <v>Berubah</v>
      </c>
      <c r="E318" t="str">
        <f t="shared" si="20"/>
        <v>1.3.1.01.03.04.001</v>
      </c>
      <c r="F318">
        <v>313</v>
      </c>
      <c r="G318" s="9">
        <v>1</v>
      </c>
      <c r="H318" s="9">
        <v>3</v>
      </c>
      <c r="I318" s="9">
        <v>1</v>
      </c>
      <c r="J318" s="10" t="s">
        <v>13</v>
      </c>
      <c r="K318" s="10" t="s">
        <v>24</v>
      </c>
      <c r="L318" s="10" t="s">
        <v>27</v>
      </c>
      <c r="M318" s="10" t="s">
        <v>17</v>
      </c>
      <c r="N318" s="18" t="s">
        <v>371</v>
      </c>
      <c r="O318" t="b">
        <f t="shared" si="21"/>
        <v>1</v>
      </c>
      <c r="R318">
        <v>313</v>
      </c>
      <c r="S318" s="41">
        <v>1</v>
      </c>
      <c r="T318" s="41">
        <v>1</v>
      </c>
      <c r="U318" s="41">
        <v>13</v>
      </c>
      <c r="V318" s="41">
        <v>4</v>
      </c>
      <c r="W318" s="41">
        <v>1</v>
      </c>
      <c r="X318" s="16" t="s">
        <v>371</v>
      </c>
      <c r="Y318" s="17" t="s">
        <v>153</v>
      </c>
      <c r="Z318" s="17">
        <v>30</v>
      </c>
    </row>
    <row r="319" spans="2:26" ht="15.75" x14ac:dyDescent="0.25">
      <c r="B319" t="s">
        <v>728</v>
      </c>
      <c r="C319" t="str">
        <f t="shared" si="18"/>
        <v>1.1.13.4.2</v>
      </c>
      <c r="D319" t="str">
        <f t="shared" si="19"/>
        <v>Berubah</v>
      </c>
      <c r="E319" t="str">
        <f t="shared" si="20"/>
        <v>1.3.1.01.03.04.002</v>
      </c>
      <c r="F319">
        <v>314</v>
      </c>
      <c r="G319" s="9">
        <v>1</v>
      </c>
      <c r="H319" s="9">
        <v>3</v>
      </c>
      <c r="I319" s="9">
        <v>1</v>
      </c>
      <c r="J319" s="10" t="s">
        <v>13</v>
      </c>
      <c r="K319" s="10" t="s">
        <v>24</v>
      </c>
      <c r="L319" s="10" t="s">
        <v>27</v>
      </c>
      <c r="M319" s="10" t="s">
        <v>19</v>
      </c>
      <c r="N319" s="18" t="s">
        <v>372</v>
      </c>
      <c r="O319" t="b">
        <f t="shared" si="21"/>
        <v>1</v>
      </c>
      <c r="R319">
        <v>314</v>
      </c>
      <c r="S319" s="41">
        <v>1</v>
      </c>
      <c r="T319" s="41">
        <v>1</v>
      </c>
      <c r="U319" s="41">
        <v>13</v>
      </c>
      <c r="V319" s="41">
        <v>4</v>
      </c>
      <c r="W319" s="41">
        <v>2</v>
      </c>
      <c r="X319" s="16" t="s">
        <v>372</v>
      </c>
      <c r="Y319" s="17" t="s">
        <v>153</v>
      </c>
      <c r="Z319" s="17">
        <v>31</v>
      </c>
    </row>
    <row r="320" spans="2:26" s="1" customFormat="1" ht="15.75" x14ac:dyDescent="0.25">
      <c r="B320" t="s">
        <v>729</v>
      </c>
      <c r="C320" t="str">
        <f t="shared" si="18"/>
        <v>1.1.13.4.3</v>
      </c>
      <c r="D320" t="str">
        <f t="shared" si="19"/>
        <v>Berubah</v>
      </c>
      <c r="E320" t="str">
        <f t="shared" si="20"/>
        <v>1.3.1.01.03.04.003</v>
      </c>
      <c r="F320" s="1">
        <v>315</v>
      </c>
      <c r="G320" s="19">
        <v>1</v>
      </c>
      <c r="H320" s="19">
        <v>3</v>
      </c>
      <c r="I320" s="19">
        <v>1</v>
      </c>
      <c r="J320" s="20" t="s">
        <v>13</v>
      </c>
      <c r="K320" s="20" t="s">
        <v>24</v>
      </c>
      <c r="L320" s="20" t="s">
        <v>27</v>
      </c>
      <c r="M320" s="20" t="s">
        <v>22</v>
      </c>
      <c r="N320" s="21" t="s">
        <v>50</v>
      </c>
      <c r="O320" s="1" t="b">
        <f t="shared" si="21"/>
        <v>0</v>
      </c>
      <c r="R320" s="1">
        <v>315</v>
      </c>
      <c r="S320" s="42">
        <v>1</v>
      </c>
      <c r="T320" s="42">
        <v>1</v>
      </c>
      <c r="U320" s="42">
        <v>13</v>
      </c>
      <c r="V320" s="42">
        <v>4</v>
      </c>
      <c r="W320" s="42">
        <v>3</v>
      </c>
      <c r="X320" s="22" t="s">
        <v>373</v>
      </c>
      <c r="Y320" s="23" t="s">
        <v>153</v>
      </c>
      <c r="Z320" s="23">
        <v>32</v>
      </c>
    </row>
    <row r="321" spans="2:26" ht="15.75" x14ac:dyDescent="0.25">
      <c r="B321" t="s">
        <v>730</v>
      </c>
      <c r="C321" t="str">
        <f t="shared" si="18"/>
        <v>1.1.13.4.4</v>
      </c>
      <c r="D321" t="str">
        <f t="shared" si="19"/>
        <v>Keluar</v>
      </c>
      <c r="E321" t="str">
        <f t="shared" si="20"/>
        <v>......</v>
      </c>
      <c r="F321" s="14">
        <v>316</v>
      </c>
      <c r="G321" s="24"/>
      <c r="H321" s="24"/>
      <c r="I321" s="24"/>
      <c r="J321" s="25"/>
      <c r="K321" s="25"/>
      <c r="L321" s="25"/>
      <c r="M321" s="25"/>
      <c r="N321" s="26"/>
      <c r="O321" s="14" t="b">
        <f t="shared" si="21"/>
        <v>0</v>
      </c>
      <c r="P321" s="14"/>
      <c r="Q321" s="14"/>
      <c r="R321" s="14">
        <v>316</v>
      </c>
      <c r="S321" s="43">
        <v>1</v>
      </c>
      <c r="T321" s="43">
        <v>1</v>
      </c>
      <c r="U321" s="43">
        <v>13</v>
      </c>
      <c r="V321" s="43">
        <v>4</v>
      </c>
      <c r="W321" s="43">
        <v>4</v>
      </c>
      <c r="X321" s="27" t="s">
        <v>48</v>
      </c>
      <c r="Y321" s="29" t="s">
        <v>153</v>
      </c>
      <c r="Z321" s="29">
        <v>33</v>
      </c>
    </row>
    <row r="322" spans="2:26" ht="15.75" x14ac:dyDescent="0.25">
      <c r="B322" t="s">
        <v>731</v>
      </c>
      <c r="C322" t="str">
        <f t="shared" si="18"/>
        <v>1.1.13.5.0</v>
      </c>
      <c r="D322" t="str">
        <f t="shared" si="19"/>
        <v>Berubah</v>
      </c>
      <c r="E322" t="str">
        <f t="shared" si="20"/>
        <v>1.3.1.01.03.05.</v>
      </c>
      <c r="F322">
        <v>317</v>
      </c>
      <c r="G322" s="9">
        <v>1</v>
      </c>
      <c r="H322" s="9">
        <v>3</v>
      </c>
      <c r="I322" s="9">
        <v>1</v>
      </c>
      <c r="J322" s="10" t="s">
        <v>13</v>
      </c>
      <c r="K322" s="10" t="s">
        <v>24</v>
      </c>
      <c r="L322" s="10" t="s">
        <v>30</v>
      </c>
      <c r="M322" s="10"/>
      <c r="N322" s="18" t="s">
        <v>374</v>
      </c>
      <c r="O322" t="b">
        <f t="shared" si="21"/>
        <v>1</v>
      </c>
      <c r="R322">
        <v>317</v>
      </c>
      <c r="S322" s="41">
        <v>1</v>
      </c>
      <c r="T322" s="41">
        <v>1</v>
      </c>
      <c r="U322" s="41">
        <v>13</v>
      </c>
      <c r="V322" s="41">
        <v>5</v>
      </c>
      <c r="W322" s="41">
        <v>0</v>
      </c>
      <c r="X322" s="16" t="s">
        <v>374</v>
      </c>
      <c r="Y322" s="17" t="s">
        <v>153</v>
      </c>
      <c r="Z322" s="17">
        <v>34</v>
      </c>
    </row>
    <row r="323" spans="2:26" ht="15.75" x14ac:dyDescent="0.25">
      <c r="B323" t="s">
        <v>732</v>
      </c>
      <c r="C323" t="str">
        <f t="shared" si="18"/>
        <v>1.1.13.5.1</v>
      </c>
      <c r="D323" t="str">
        <f t="shared" si="19"/>
        <v>Berubah</v>
      </c>
      <c r="E323" t="str">
        <f t="shared" si="20"/>
        <v>1.3.1.01.03.05.001</v>
      </c>
      <c r="F323">
        <v>318</v>
      </c>
      <c r="G323" s="9">
        <v>1</v>
      </c>
      <c r="H323" s="9">
        <v>3</v>
      </c>
      <c r="I323" s="9">
        <v>1</v>
      </c>
      <c r="J323" s="10" t="s">
        <v>13</v>
      </c>
      <c r="K323" s="10" t="s">
        <v>24</v>
      </c>
      <c r="L323" s="10" t="s">
        <v>30</v>
      </c>
      <c r="M323" s="10" t="s">
        <v>17</v>
      </c>
      <c r="N323" s="18" t="s">
        <v>375</v>
      </c>
      <c r="O323" t="b">
        <f t="shared" si="21"/>
        <v>1</v>
      </c>
      <c r="R323">
        <v>318</v>
      </c>
      <c r="S323" s="41">
        <v>1</v>
      </c>
      <c r="T323" s="41">
        <v>1</v>
      </c>
      <c r="U323" s="41">
        <v>13</v>
      </c>
      <c r="V323" s="41">
        <v>5</v>
      </c>
      <c r="W323" s="41">
        <v>1</v>
      </c>
      <c r="X323" s="16" t="s">
        <v>375</v>
      </c>
      <c r="Y323" s="17" t="s">
        <v>153</v>
      </c>
      <c r="Z323" s="17">
        <v>35</v>
      </c>
    </row>
    <row r="324" spans="2:26" ht="15.75" x14ac:dyDescent="0.25">
      <c r="B324" t="s">
        <v>733</v>
      </c>
      <c r="C324" t="str">
        <f t="shared" si="18"/>
        <v>1.1.13.5.2</v>
      </c>
      <c r="D324" t="str">
        <f t="shared" si="19"/>
        <v>Berubah</v>
      </c>
      <c r="E324" t="str">
        <f t="shared" si="20"/>
        <v>1.3.1.01.03.05.002</v>
      </c>
      <c r="F324">
        <v>319</v>
      </c>
      <c r="G324" s="9">
        <v>1</v>
      </c>
      <c r="H324" s="9">
        <v>3</v>
      </c>
      <c r="I324" s="9">
        <v>1</v>
      </c>
      <c r="J324" s="10" t="s">
        <v>13</v>
      </c>
      <c r="K324" s="10" t="s">
        <v>24</v>
      </c>
      <c r="L324" s="10" t="s">
        <v>30</v>
      </c>
      <c r="M324" s="10" t="s">
        <v>19</v>
      </c>
      <c r="N324" s="18" t="s">
        <v>376</v>
      </c>
      <c r="O324" t="b">
        <f t="shared" si="21"/>
        <v>1</v>
      </c>
      <c r="R324">
        <v>319</v>
      </c>
      <c r="S324" s="41">
        <v>1</v>
      </c>
      <c r="T324" s="41">
        <v>1</v>
      </c>
      <c r="U324" s="41">
        <v>13</v>
      </c>
      <c r="V324" s="41">
        <v>5</v>
      </c>
      <c r="W324" s="41">
        <v>2</v>
      </c>
      <c r="X324" s="16" t="s">
        <v>376</v>
      </c>
      <c r="Y324" s="17" t="s">
        <v>153</v>
      </c>
      <c r="Z324" s="17">
        <v>36</v>
      </c>
    </row>
    <row r="325" spans="2:26" s="1" customFormat="1" ht="15.75" x14ac:dyDescent="0.25">
      <c r="B325" t="s">
        <v>734</v>
      </c>
      <c r="C325" t="str">
        <f t="shared" si="18"/>
        <v>1.1.13.5.3</v>
      </c>
      <c r="D325" t="str">
        <f t="shared" si="19"/>
        <v>Berubah</v>
      </c>
      <c r="E325" t="str">
        <f t="shared" si="20"/>
        <v>1.3.1.01.03.05.003</v>
      </c>
      <c r="F325" s="1">
        <v>320</v>
      </c>
      <c r="G325" s="19">
        <v>1</v>
      </c>
      <c r="H325" s="19">
        <v>3</v>
      </c>
      <c r="I325" s="19">
        <v>1</v>
      </c>
      <c r="J325" s="20" t="s">
        <v>13</v>
      </c>
      <c r="K325" s="20" t="s">
        <v>24</v>
      </c>
      <c r="L325" s="20" t="s">
        <v>30</v>
      </c>
      <c r="M325" s="20" t="s">
        <v>22</v>
      </c>
      <c r="N325" s="21" t="s">
        <v>50</v>
      </c>
      <c r="O325" s="1" t="b">
        <f t="shared" si="21"/>
        <v>0</v>
      </c>
      <c r="R325" s="1">
        <v>320</v>
      </c>
      <c r="S325" s="42">
        <v>1</v>
      </c>
      <c r="T325" s="42">
        <v>1</v>
      </c>
      <c r="U325" s="42">
        <v>13</v>
      </c>
      <c r="V325" s="42">
        <v>5</v>
      </c>
      <c r="W325" s="42">
        <v>3</v>
      </c>
      <c r="X325" s="22" t="s">
        <v>377</v>
      </c>
      <c r="Y325" s="23" t="s">
        <v>153</v>
      </c>
      <c r="Z325" s="23">
        <v>37</v>
      </c>
    </row>
    <row r="326" spans="2:26" ht="15.75" x14ac:dyDescent="0.25">
      <c r="B326" t="s">
        <v>735</v>
      </c>
      <c r="C326" t="str">
        <f t="shared" si="18"/>
        <v>1.1.13.5.4</v>
      </c>
      <c r="D326" t="str">
        <f t="shared" si="19"/>
        <v>Keluar</v>
      </c>
      <c r="E326" t="str">
        <f t="shared" si="20"/>
        <v>......</v>
      </c>
      <c r="F326" s="14">
        <v>321</v>
      </c>
      <c r="G326" s="24"/>
      <c r="H326" s="24"/>
      <c r="I326" s="24"/>
      <c r="J326" s="25"/>
      <c r="K326" s="25"/>
      <c r="L326" s="25"/>
      <c r="M326" s="25"/>
      <c r="N326" s="26"/>
      <c r="O326" s="14" t="b">
        <f t="shared" si="21"/>
        <v>0</v>
      </c>
      <c r="P326" s="14"/>
      <c r="Q326" s="14"/>
      <c r="R326" s="14">
        <v>321</v>
      </c>
      <c r="S326" s="43">
        <v>1</v>
      </c>
      <c r="T326" s="43">
        <v>1</v>
      </c>
      <c r="U326" s="43">
        <v>13</v>
      </c>
      <c r="V326" s="43">
        <v>5</v>
      </c>
      <c r="W326" s="43">
        <v>4</v>
      </c>
      <c r="X326" s="27" t="s">
        <v>48</v>
      </c>
      <c r="Y326" s="29" t="s">
        <v>153</v>
      </c>
      <c r="Z326" s="29">
        <v>38</v>
      </c>
    </row>
    <row r="327" spans="2:26" ht="15.75" x14ac:dyDescent="0.25">
      <c r="B327" t="s">
        <v>736</v>
      </c>
      <c r="C327" t="str">
        <f t="shared" ref="C327:C390" si="22">S327&amp;"."&amp;T327&amp;"."&amp;U327&amp;"."&amp;V327&amp;"."&amp;W327</f>
        <v>1.1.13.6.0</v>
      </c>
      <c r="D327" t="str">
        <f t="shared" ref="D327:D390" si="23">IF(S327&lt;&gt;"",IF(G327="","Keluar","Berubah"),"Bertambah")</f>
        <v>Berubah</v>
      </c>
      <c r="E327" t="str">
        <f t="shared" ref="E327:E390" si="24">G327&amp;"."&amp;H327&amp;"."&amp;I327&amp;"."&amp;J327&amp;"."&amp;K327&amp;"."&amp;L327&amp;"."&amp;M327</f>
        <v>1.3.1.01.03.06.</v>
      </c>
      <c r="F327">
        <v>322</v>
      </c>
      <c r="G327" s="9">
        <v>1</v>
      </c>
      <c r="H327" s="9">
        <v>3</v>
      </c>
      <c r="I327" s="9">
        <v>1</v>
      </c>
      <c r="J327" s="10" t="s">
        <v>13</v>
      </c>
      <c r="K327" s="10" t="s">
        <v>24</v>
      </c>
      <c r="L327" s="10" t="s">
        <v>33</v>
      </c>
      <c r="M327" s="10"/>
      <c r="N327" s="18" t="s">
        <v>378</v>
      </c>
      <c r="O327" t="b">
        <f t="shared" si="21"/>
        <v>1</v>
      </c>
      <c r="R327">
        <v>322</v>
      </c>
      <c r="S327" s="41">
        <v>1</v>
      </c>
      <c r="T327" s="41">
        <v>1</v>
      </c>
      <c r="U327" s="41">
        <v>13</v>
      </c>
      <c r="V327" s="41">
        <v>6</v>
      </c>
      <c r="W327" s="41">
        <v>0</v>
      </c>
      <c r="X327" s="16" t="s">
        <v>378</v>
      </c>
      <c r="Y327" s="17" t="s">
        <v>153</v>
      </c>
      <c r="Z327" s="17">
        <v>39</v>
      </c>
    </row>
    <row r="328" spans="2:26" ht="15.75" x14ac:dyDescent="0.25">
      <c r="B328" t="s">
        <v>737</v>
      </c>
      <c r="C328" t="str">
        <f t="shared" si="22"/>
        <v>1.1.13.6.1</v>
      </c>
      <c r="D328" t="str">
        <f t="shared" si="23"/>
        <v>Berubah</v>
      </c>
      <c r="E328" t="str">
        <f t="shared" si="24"/>
        <v>1.3.1.01.03.06.001</v>
      </c>
      <c r="F328">
        <v>323</v>
      </c>
      <c r="G328" s="9">
        <v>1</v>
      </c>
      <c r="H328" s="9">
        <v>3</v>
      </c>
      <c r="I328" s="9">
        <v>1</v>
      </c>
      <c r="J328" s="10" t="s">
        <v>13</v>
      </c>
      <c r="K328" s="10" t="s">
        <v>24</v>
      </c>
      <c r="L328" s="10" t="s">
        <v>33</v>
      </c>
      <c r="M328" s="10" t="s">
        <v>17</v>
      </c>
      <c r="N328" s="18" t="s">
        <v>379</v>
      </c>
      <c r="O328" t="b">
        <f t="shared" si="21"/>
        <v>1</v>
      </c>
      <c r="R328">
        <v>323</v>
      </c>
      <c r="S328" s="41">
        <v>1</v>
      </c>
      <c r="T328" s="41">
        <v>1</v>
      </c>
      <c r="U328" s="41">
        <v>13</v>
      </c>
      <c r="V328" s="41">
        <v>6</v>
      </c>
      <c r="W328" s="41">
        <v>1</v>
      </c>
      <c r="X328" s="16" t="s">
        <v>379</v>
      </c>
      <c r="Y328" s="17" t="s">
        <v>153</v>
      </c>
      <c r="Z328" s="17">
        <v>40</v>
      </c>
    </row>
    <row r="329" spans="2:26" ht="15.75" x14ac:dyDescent="0.25">
      <c r="B329" t="s">
        <v>738</v>
      </c>
      <c r="C329" t="str">
        <f t="shared" si="22"/>
        <v>1.1.13.6.2</v>
      </c>
      <c r="D329" t="str">
        <f t="shared" si="23"/>
        <v>Berubah</v>
      </c>
      <c r="E329" t="str">
        <f t="shared" si="24"/>
        <v>1.3.1.01.03.06.002</v>
      </c>
      <c r="F329">
        <v>324</v>
      </c>
      <c r="G329" s="9">
        <v>1</v>
      </c>
      <c r="H329" s="9">
        <v>3</v>
      </c>
      <c r="I329" s="9">
        <v>1</v>
      </c>
      <c r="J329" s="10" t="s">
        <v>13</v>
      </c>
      <c r="K329" s="10" t="s">
        <v>24</v>
      </c>
      <c r="L329" s="10" t="s">
        <v>33</v>
      </c>
      <c r="M329" s="10" t="s">
        <v>19</v>
      </c>
      <c r="N329" s="18" t="s">
        <v>380</v>
      </c>
      <c r="O329" t="b">
        <f t="shared" ref="O329:O392" si="25">N329=X329</f>
        <v>1</v>
      </c>
      <c r="R329">
        <v>324</v>
      </c>
      <c r="S329" s="41">
        <v>1</v>
      </c>
      <c r="T329" s="41">
        <v>1</v>
      </c>
      <c r="U329" s="41">
        <v>13</v>
      </c>
      <c r="V329" s="41">
        <v>6</v>
      </c>
      <c r="W329" s="41">
        <v>2</v>
      </c>
      <c r="X329" s="16" t="s">
        <v>380</v>
      </c>
      <c r="Y329" s="17" t="s">
        <v>153</v>
      </c>
      <c r="Z329" s="17">
        <v>41</v>
      </c>
    </row>
    <row r="330" spans="2:26" ht="15.75" x14ac:dyDescent="0.25">
      <c r="B330" t="s">
        <v>739</v>
      </c>
      <c r="C330" t="str">
        <f t="shared" si="22"/>
        <v>1.1.13.6.3</v>
      </c>
      <c r="D330" t="str">
        <f t="shared" si="23"/>
        <v>Berubah</v>
      </c>
      <c r="E330" t="str">
        <f t="shared" si="24"/>
        <v>1.3.1.01.03.06.003</v>
      </c>
      <c r="F330">
        <v>325</v>
      </c>
      <c r="G330" s="9">
        <v>1</v>
      </c>
      <c r="H330" s="9">
        <v>3</v>
      </c>
      <c r="I330" s="9">
        <v>1</v>
      </c>
      <c r="J330" s="10" t="s">
        <v>13</v>
      </c>
      <c r="K330" s="10" t="s">
        <v>24</v>
      </c>
      <c r="L330" s="10" t="s">
        <v>33</v>
      </c>
      <c r="M330" s="10" t="s">
        <v>22</v>
      </c>
      <c r="N330" s="18" t="s">
        <v>381</v>
      </c>
      <c r="O330" t="b">
        <f t="shared" si="25"/>
        <v>1</v>
      </c>
      <c r="R330">
        <v>325</v>
      </c>
      <c r="S330" s="41">
        <v>1</v>
      </c>
      <c r="T330" s="41">
        <v>1</v>
      </c>
      <c r="U330" s="41">
        <v>13</v>
      </c>
      <c r="V330" s="41">
        <v>6</v>
      </c>
      <c r="W330" s="41">
        <v>3</v>
      </c>
      <c r="X330" s="16" t="s">
        <v>381</v>
      </c>
      <c r="Y330" s="17" t="s">
        <v>153</v>
      </c>
      <c r="Z330" s="17">
        <v>42</v>
      </c>
    </row>
    <row r="331" spans="2:26" ht="15.75" x14ac:dyDescent="0.25">
      <c r="B331" t="s">
        <v>740</v>
      </c>
      <c r="C331" t="str">
        <f t="shared" si="22"/>
        <v>1.1.13.6.4</v>
      </c>
      <c r="D331" t="str">
        <f t="shared" si="23"/>
        <v>Berubah</v>
      </c>
      <c r="E331" t="str">
        <f t="shared" si="24"/>
        <v>1.3.1.01.03.06.004</v>
      </c>
      <c r="F331">
        <v>326</v>
      </c>
      <c r="G331" s="9">
        <v>1</v>
      </c>
      <c r="H331" s="9">
        <v>3</v>
      </c>
      <c r="I331" s="9">
        <v>1</v>
      </c>
      <c r="J331" s="10" t="s">
        <v>13</v>
      </c>
      <c r="K331" s="10" t="s">
        <v>24</v>
      </c>
      <c r="L331" s="10" t="s">
        <v>33</v>
      </c>
      <c r="M331" s="10" t="s">
        <v>25</v>
      </c>
      <c r="N331" s="18" t="s">
        <v>382</v>
      </c>
      <c r="O331" t="b">
        <f t="shared" si="25"/>
        <v>1</v>
      </c>
      <c r="R331">
        <v>326</v>
      </c>
      <c r="S331" s="41">
        <v>1</v>
      </c>
      <c r="T331" s="41">
        <v>1</v>
      </c>
      <c r="U331" s="41">
        <v>13</v>
      </c>
      <c r="V331" s="41">
        <v>6</v>
      </c>
      <c r="W331" s="41">
        <v>4</v>
      </c>
      <c r="X331" s="16" t="s">
        <v>382</v>
      </c>
      <c r="Y331" s="17" t="s">
        <v>153</v>
      </c>
      <c r="Z331" s="17">
        <v>43</v>
      </c>
    </row>
    <row r="332" spans="2:26" ht="15.75" x14ac:dyDescent="0.25">
      <c r="B332" t="s">
        <v>741</v>
      </c>
      <c r="C332" t="str">
        <f t="shared" si="22"/>
        <v>1.1.13.6.5</v>
      </c>
      <c r="D332" t="str">
        <f t="shared" si="23"/>
        <v>Berubah</v>
      </c>
      <c r="E332" t="str">
        <f t="shared" si="24"/>
        <v>1.3.1.01.03.06.005</v>
      </c>
      <c r="F332">
        <v>327</v>
      </c>
      <c r="G332" s="9">
        <v>1</v>
      </c>
      <c r="H332" s="9">
        <v>3</v>
      </c>
      <c r="I332" s="9">
        <v>1</v>
      </c>
      <c r="J332" s="10" t="s">
        <v>13</v>
      </c>
      <c r="K332" s="10" t="s">
        <v>24</v>
      </c>
      <c r="L332" s="10" t="s">
        <v>33</v>
      </c>
      <c r="M332" s="10" t="s">
        <v>28</v>
      </c>
      <c r="N332" s="18" t="s">
        <v>383</v>
      </c>
      <c r="O332" t="b">
        <f t="shared" si="25"/>
        <v>1</v>
      </c>
      <c r="R332">
        <v>327</v>
      </c>
      <c r="S332" s="41">
        <v>1</v>
      </c>
      <c r="T332" s="41">
        <v>1</v>
      </c>
      <c r="U332" s="41">
        <v>13</v>
      </c>
      <c r="V332" s="41">
        <v>6</v>
      </c>
      <c r="W332" s="41">
        <v>5</v>
      </c>
      <c r="X332" s="16" t="s">
        <v>383</v>
      </c>
      <c r="Y332" s="17" t="s">
        <v>153</v>
      </c>
      <c r="Z332" s="17">
        <v>44</v>
      </c>
    </row>
    <row r="333" spans="2:26" x14ac:dyDescent="0.25">
      <c r="B333" t="s">
        <v>469</v>
      </c>
      <c r="C333" t="str">
        <f t="shared" si="22"/>
        <v>....</v>
      </c>
      <c r="D333" t="str">
        <f t="shared" si="23"/>
        <v>Bertambah</v>
      </c>
      <c r="E333" t="str">
        <f t="shared" si="24"/>
        <v>1.3.1.01.03.06.006</v>
      </c>
      <c r="F333" s="14">
        <v>328</v>
      </c>
      <c r="G333" s="24">
        <v>1</v>
      </c>
      <c r="H333" s="24">
        <v>3</v>
      </c>
      <c r="I333" s="24">
        <v>1</v>
      </c>
      <c r="J333" s="25" t="s">
        <v>13</v>
      </c>
      <c r="K333" s="25" t="s">
        <v>24</v>
      </c>
      <c r="L333" s="25" t="s">
        <v>33</v>
      </c>
      <c r="M333" s="25" t="s">
        <v>31</v>
      </c>
      <c r="N333" s="26" t="s">
        <v>384</v>
      </c>
      <c r="O333" s="14" t="b">
        <f t="shared" si="25"/>
        <v>0</v>
      </c>
      <c r="P333" s="14"/>
      <c r="Q333" s="14"/>
      <c r="R333" s="14">
        <v>328</v>
      </c>
      <c r="S333" s="28"/>
      <c r="T333" s="28"/>
      <c r="U333" s="28"/>
      <c r="V333" s="28"/>
      <c r="W333" s="28"/>
      <c r="X333" s="28"/>
      <c r="Y333" s="28"/>
      <c r="Z333" s="28"/>
    </row>
    <row r="334" spans="2:26" x14ac:dyDescent="0.25">
      <c r="B334" t="s">
        <v>469</v>
      </c>
      <c r="C334" t="str">
        <f t="shared" si="22"/>
        <v>....</v>
      </c>
      <c r="D334" t="str">
        <f t="shared" si="23"/>
        <v>Bertambah</v>
      </c>
      <c r="E334" t="str">
        <f t="shared" si="24"/>
        <v>1.3.1.01.03.06.007</v>
      </c>
      <c r="F334" s="14">
        <v>329</v>
      </c>
      <c r="G334" s="24">
        <v>1</v>
      </c>
      <c r="H334" s="24">
        <v>3</v>
      </c>
      <c r="I334" s="24">
        <v>1</v>
      </c>
      <c r="J334" s="25" t="s">
        <v>13</v>
      </c>
      <c r="K334" s="25" t="s">
        <v>24</v>
      </c>
      <c r="L334" s="25" t="s">
        <v>33</v>
      </c>
      <c r="M334" s="25" t="s">
        <v>34</v>
      </c>
      <c r="N334" s="26" t="s">
        <v>385</v>
      </c>
      <c r="O334" s="14" t="b">
        <f t="shared" si="25"/>
        <v>0</v>
      </c>
      <c r="P334" s="14"/>
      <c r="Q334" s="14"/>
      <c r="R334" s="14">
        <v>329</v>
      </c>
      <c r="S334" s="28"/>
      <c r="T334" s="28"/>
      <c r="U334" s="28"/>
      <c r="V334" s="28"/>
      <c r="W334" s="28"/>
      <c r="X334" s="28"/>
      <c r="Y334" s="28"/>
      <c r="Z334" s="28"/>
    </row>
    <row r="335" spans="2:26" s="1" customFormat="1" ht="15.75" x14ac:dyDescent="0.25">
      <c r="B335" t="s">
        <v>742</v>
      </c>
      <c r="C335" t="str">
        <f t="shared" si="22"/>
        <v>1.1.13.6.6</v>
      </c>
      <c r="D335" t="str">
        <f t="shared" si="23"/>
        <v>Berubah</v>
      </c>
      <c r="E335" t="str">
        <f t="shared" si="24"/>
        <v>1.3.1.01.03.06.008</v>
      </c>
      <c r="F335" s="1">
        <v>330</v>
      </c>
      <c r="G335" s="19">
        <v>1</v>
      </c>
      <c r="H335" s="19">
        <v>3</v>
      </c>
      <c r="I335" s="19">
        <v>1</v>
      </c>
      <c r="J335" s="20" t="s">
        <v>13</v>
      </c>
      <c r="K335" s="20" t="s">
        <v>24</v>
      </c>
      <c r="L335" s="20" t="s">
        <v>33</v>
      </c>
      <c r="M335" s="20" t="s">
        <v>37</v>
      </c>
      <c r="N335" s="21" t="s">
        <v>50</v>
      </c>
      <c r="O335" s="1" t="b">
        <f t="shared" si="25"/>
        <v>0</v>
      </c>
      <c r="R335" s="1">
        <v>330</v>
      </c>
      <c r="S335" s="42">
        <v>1</v>
      </c>
      <c r="T335" s="42">
        <v>1</v>
      </c>
      <c r="U335" s="42">
        <v>13</v>
      </c>
      <c r="V335" s="42">
        <v>6</v>
      </c>
      <c r="W335" s="42">
        <v>6</v>
      </c>
      <c r="X335" s="22" t="s">
        <v>386</v>
      </c>
      <c r="Y335" s="23" t="s">
        <v>153</v>
      </c>
      <c r="Z335" s="23">
        <v>45</v>
      </c>
    </row>
    <row r="336" spans="2:26" ht="15.75" x14ac:dyDescent="0.25">
      <c r="B336" t="s">
        <v>743</v>
      </c>
      <c r="C336" t="str">
        <f t="shared" si="22"/>
        <v>1.1.13.6.7</v>
      </c>
      <c r="D336" t="str">
        <f t="shared" si="23"/>
        <v>Keluar</v>
      </c>
      <c r="E336" t="str">
        <f t="shared" si="24"/>
        <v>......</v>
      </c>
      <c r="F336" s="14">
        <v>331</v>
      </c>
      <c r="G336" s="24"/>
      <c r="H336" s="24"/>
      <c r="I336" s="24"/>
      <c r="J336" s="25"/>
      <c r="K336" s="25"/>
      <c r="L336" s="25"/>
      <c r="M336" s="25"/>
      <c r="N336" s="26"/>
      <c r="O336" s="14" t="b">
        <f t="shared" si="25"/>
        <v>0</v>
      </c>
      <c r="P336" s="14"/>
      <c r="Q336" s="14"/>
      <c r="R336" s="14">
        <v>331</v>
      </c>
      <c r="S336" s="43">
        <v>1</v>
      </c>
      <c r="T336" s="43">
        <v>1</v>
      </c>
      <c r="U336" s="43">
        <v>13</v>
      </c>
      <c r="V336" s="43">
        <v>6</v>
      </c>
      <c r="W336" s="43">
        <v>7</v>
      </c>
      <c r="X336" s="27" t="s">
        <v>48</v>
      </c>
      <c r="Y336" s="29" t="s">
        <v>153</v>
      </c>
      <c r="Z336" s="29">
        <v>46</v>
      </c>
    </row>
    <row r="337" spans="2:26" ht="15.75" x14ac:dyDescent="0.25">
      <c r="B337" t="s">
        <v>744</v>
      </c>
      <c r="C337" t="str">
        <f t="shared" si="22"/>
        <v>1.1.13.7.0</v>
      </c>
      <c r="D337" t="str">
        <f t="shared" si="23"/>
        <v>Berubah</v>
      </c>
      <c r="E337" t="str">
        <f t="shared" si="24"/>
        <v>1.3.1.01.03.07.</v>
      </c>
      <c r="F337" s="1">
        <v>332</v>
      </c>
      <c r="G337" s="19">
        <v>1</v>
      </c>
      <c r="H337" s="19">
        <v>3</v>
      </c>
      <c r="I337" s="19">
        <v>1</v>
      </c>
      <c r="J337" s="20" t="s">
        <v>13</v>
      </c>
      <c r="K337" s="20" t="s">
        <v>24</v>
      </c>
      <c r="L337" s="20" t="s">
        <v>36</v>
      </c>
      <c r="M337" s="20"/>
      <c r="N337" s="21" t="s">
        <v>387</v>
      </c>
      <c r="O337" s="1" t="b">
        <f t="shared" si="25"/>
        <v>0</v>
      </c>
      <c r="P337" s="1"/>
      <c r="Q337" s="1"/>
      <c r="R337" s="1">
        <v>332</v>
      </c>
      <c r="S337" s="42">
        <v>1</v>
      </c>
      <c r="T337" s="42">
        <v>1</v>
      </c>
      <c r="U337" s="42">
        <v>13</v>
      </c>
      <c r="V337" s="42">
        <v>7</v>
      </c>
      <c r="W337" s="42">
        <v>0</v>
      </c>
      <c r="X337" s="22" t="s">
        <v>388</v>
      </c>
      <c r="Y337" s="23" t="s">
        <v>153</v>
      </c>
      <c r="Z337" s="23">
        <v>47</v>
      </c>
    </row>
    <row r="338" spans="2:26" ht="15.75" x14ac:dyDescent="0.25">
      <c r="B338" t="s">
        <v>745</v>
      </c>
      <c r="C338" t="str">
        <f t="shared" si="22"/>
        <v>1.1.13.7.1</v>
      </c>
      <c r="D338" t="str">
        <f t="shared" si="23"/>
        <v>Berubah</v>
      </c>
      <c r="E338" t="str">
        <f t="shared" si="24"/>
        <v>1.3.1.01.03.07.001</v>
      </c>
      <c r="F338">
        <v>333</v>
      </c>
      <c r="G338" s="9">
        <v>1</v>
      </c>
      <c r="H338" s="9">
        <v>3</v>
      </c>
      <c r="I338" s="9">
        <v>1</v>
      </c>
      <c r="J338" s="10" t="s">
        <v>13</v>
      </c>
      <c r="K338" s="10" t="s">
        <v>24</v>
      </c>
      <c r="L338" s="10" t="s">
        <v>36</v>
      </c>
      <c r="M338" s="10" t="s">
        <v>17</v>
      </c>
      <c r="N338" s="18" t="s">
        <v>389</v>
      </c>
      <c r="O338" t="b">
        <f t="shared" si="25"/>
        <v>1</v>
      </c>
      <c r="R338">
        <v>333</v>
      </c>
      <c r="S338" s="41">
        <v>1</v>
      </c>
      <c r="T338" s="41">
        <v>1</v>
      </c>
      <c r="U338" s="41">
        <v>13</v>
      </c>
      <c r="V338" s="41">
        <v>7</v>
      </c>
      <c r="W338" s="41">
        <v>1</v>
      </c>
      <c r="X338" s="16" t="s">
        <v>389</v>
      </c>
      <c r="Y338" s="17" t="s">
        <v>153</v>
      </c>
      <c r="Z338" s="17">
        <v>48</v>
      </c>
    </row>
    <row r="339" spans="2:26" ht="15.75" x14ac:dyDescent="0.25">
      <c r="B339" t="s">
        <v>746</v>
      </c>
      <c r="C339" t="str">
        <f t="shared" si="22"/>
        <v>1.1.13.7.2</v>
      </c>
      <c r="D339" t="str">
        <f t="shared" si="23"/>
        <v>Berubah</v>
      </c>
      <c r="E339" t="str">
        <f t="shared" si="24"/>
        <v>1.3.1.01.03.07.002</v>
      </c>
      <c r="F339">
        <v>334</v>
      </c>
      <c r="G339" s="9">
        <v>1</v>
      </c>
      <c r="H339" s="9">
        <v>3</v>
      </c>
      <c r="I339" s="9">
        <v>1</v>
      </c>
      <c r="J339" s="10" t="s">
        <v>13</v>
      </c>
      <c r="K339" s="10" t="s">
        <v>24</v>
      </c>
      <c r="L339" s="10" t="s">
        <v>36</v>
      </c>
      <c r="M339" s="10" t="s">
        <v>19</v>
      </c>
      <c r="N339" s="18" t="s">
        <v>390</v>
      </c>
      <c r="O339" t="b">
        <f t="shared" si="25"/>
        <v>1</v>
      </c>
      <c r="R339">
        <v>334</v>
      </c>
      <c r="S339" s="41">
        <v>1</v>
      </c>
      <c r="T339" s="41">
        <v>1</v>
      </c>
      <c r="U339" s="41">
        <v>13</v>
      </c>
      <c r="V339" s="41">
        <v>7</v>
      </c>
      <c r="W339" s="41">
        <v>2</v>
      </c>
      <c r="X339" s="16" t="s">
        <v>390</v>
      </c>
      <c r="Y339" s="17" t="s">
        <v>153</v>
      </c>
      <c r="Z339" s="17">
        <v>49</v>
      </c>
    </row>
    <row r="340" spans="2:26" ht="15.75" x14ac:dyDescent="0.25">
      <c r="B340" t="s">
        <v>747</v>
      </c>
      <c r="C340" t="str">
        <f t="shared" si="22"/>
        <v>1.1.13.7.3</v>
      </c>
      <c r="D340" t="str">
        <f t="shared" si="23"/>
        <v>Berubah</v>
      </c>
      <c r="E340" t="str">
        <f t="shared" si="24"/>
        <v>1.3.1.01.03.07.003</v>
      </c>
      <c r="F340">
        <v>335</v>
      </c>
      <c r="G340" s="9">
        <v>1</v>
      </c>
      <c r="H340" s="9">
        <v>3</v>
      </c>
      <c r="I340" s="9">
        <v>1</v>
      </c>
      <c r="J340" s="10" t="s">
        <v>13</v>
      </c>
      <c r="K340" s="10" t="s">
        <v>24</v>
      </c>
      <c r="L340" s="10" t="s">
        <v>36</v>
      </c>
      <c r="M340" s="10" t="s">
        <v>22</v>
      </c>
      <c r="N340" s="18" t="s">
        <v>391</v>
      </c>
      <c r="O340" t="b">
        <f t="shared" si="25"/>
        <v>1</v>
      </c>
      <c r="R340">
        <v>335</v>
      </c>
      <c r="S340" s="41">
        <v>1</v>
      </c>
      <c r="T340" s="41">
        <v>1</v>
      </c>
      <c r="U340" s="41">
        <v>13</v>
      </c>
      <c r="V340" s="41">
        <v>7</v>
      </c>
      <c r="W340" s="41">
        <v>3</v>
      </c>
      <c r="X340" s="16" t="s">
        <v>391</v>
      </c>
      <c r="Y340" s="17" t="s">
        <v>153</v>
      </c>
      <c r="Z340" s="17">
        <v>50</v>
      </c>
    </row>
    <row r="341" spans="2:26" ht="15.75" x14ac:dyDescent="0.25">
      <c r="B341" t="s">
        <v>748</v>
      </c>
      <c r="C341" t="str">
        <f t="shared" si="22"/>
        <v>1.1.13.7.4</v>
      </c>
      <c r="D341" t="str">
        <f t="shared" si="23"/>
        <v>Berubah</v>
      </c>
      <c r="E341" t="str">
        <f t="shared" si="24"/>
        <v>1.3.1.01.03.07.004</v>
      </c>
      <c r="F341">
        <v>336</v>
      </c>
      <c r="G341" s="9">
        <v>1</v>
      </c>
      <c r="H341" s="9">
        <v>3</v>
      </c>
      <c r="I341" s="9">
        <v>1</v>
      </c>
      <c r="J341" s="10" t="s">
        <v>13</v>
      </c>
      <c r="K341" s="10" t="s">
        <v>24</v>
      </c>
      <c r="L341" s="10" t="s">
        <v>36</v>
      </c>
      <c r="M341" s="10" t="s">
        <v>25</v>
      </c>
      <c r="N341" s="18" t="s">
        <v>392</v>
      </c>
      <c r="O341" t="b">
        <f t="shared" si="25"/>
        <v>1</v>
      </c>
      <c r="R341">
        <v>336</v>
      </c>
      <c r="S341" s="41">
        <v>1</v>
      </c>
      <c r="T341" s="41">
        <v>1</v>
      </c>
      <c r="U341" s="41">
        <v>13</v>
      </c>
      <c r="V341" s="41">
        <v>7</v>
      </c>
      <c r="W341" s="41">
        <v>4</v>
      </c>
      <c r="X341" s="16" t="s">
        <v>392</v>
      </c>
      <c r="Y341" s="17" t="s">
        <v>153</v>
      </c>
      <c r="Z341" s="17">
        <v>51</v>
      </c>
    </row>
    <row r="342" spans="2:26" ht="15.75" x14ac:dyDescent="0.25">
      <c r="B342" t="s">
        <v>749</v>
      </c>
      <c r="C342" t="str">
        <f t="shared" si="22"/>
        <v>1.1.13.7.5</v>
      </c>
      <c r="D342" t="str">
        <f t="shared" si="23"/>
        <v>Berubah</v>
      </c>
      <c r="E342" t="str">
        <f t="shared" si="24"/>
        <v>1.3.1.01.03.07.005</v>
      </c>
      <c r="F342">
        <v>337</v>
      </c>
      <c r="G342" s="9">
        <v>1</v>
      </c>
      <c r="H342" s="9">
        <v>3</v>
      </c>
      <c r="I342" s="9">
        <v>1</v>
      </c>
      <c r="J342" s="10" t="s">
        <v>13</v>
      </c>
      <c r="K342" s="10" t="s">
        <v>24</v>
      </c>
      <c r="L342" s="10" t="s">
        <v>36</v>
      </c>
      <c r="M342" s="10" t="s">
        <v>28</v>
      </c>
      <c r="N342" s="18" t="s">
        <v>393</v>
      </c>
      <c r="O342" t="b">
        <f t="shared" si="25"/>
        <v>1</v>
      </c>
      <c r="R342">
        <v>337</v>
      </c>
      <c r="S342" s="41">
        <v>1</v>
      </c>
      <c r="T342" s="41">
        <v>1</v>
      </c>
      <c r="U342" s="41">
        <v>13</v>
      </c>
      <c r="V342" s="41">
        <v>7</v>
      </c>
      <c r="W342" s="41">
        <v>5</v>
      </c>
      <c r="X342" s="16" t="s">
        <v>393</v>
      </c>
      <c r="Y342" s="17" t="s">
        <v>153</v>
      </c>
      <c r="Z342" s="17">
        <v>52</v>
      </c>
    </row>
    <row r="343" spans="2:26" ht="15.75" x14ac:dyDescent="0.25">
      <c r="B343" t="s">
        <v>750</v>
      </c>
      <c r="C343" t="str">
        <f t="shared" si="22"/>
        <v>1.1.13.7.6</v>
      </c>
      <c r="D343" t="str">
        <f t="shared" si="23"/>
        <v>Berubah</v>
      </c>
      <c r="E343" t="str">
        <f t="shared" si="24"/>
        <v>1.3.1.01.03.07.006</v>
      </c>
      <c r="F343">
        <v>338</v>
      </c>
      <c r="G343" s="9">
        <v>1</v>
      </c>
      <c r="H343" s="9">
        <v>3</v>
      </c>
      <c r="I343" s="9">
        <v>1</v>
      </c>
      <c r="J343" s="10" t="s">
        <v>13</v>
      </c>
      <c r="K343" s="10" t="s">
        <v>24</v>
      </c>
      <c r="L343" s="10" t="s">
        <v>36</v>
      </c>
      <c r="M343" s="10" t="s">
        <v>31</v>
      </c>
      <c r="N343" s="18" t="s">
        <v>394</v>
      </c>
      <c r="O343" t="b">
        <f t="shared" si="25"/>
        <v>1</v>
      </c>
      <c r="R343">
        <v>338</v>
      </c>
      <c r="S343" s="41">
        <v>1</v>
      </c>
      <c r="T343" s="41">
        <v>1</v>
      </c>
      <c r="U343" s="41">
        <v>13</v>
      </c>
      <c r="V343" s="41">
        <v>7</v>
      </c>
      <c r="W343" s="41">
        <v>6</v>
      </c>
      <c r="X343" s="16" t="s">
        <v>394</v>
      </c>
      <c r="Y343" s="17" t="s">
        <v>153</v>
      </c>
      <c r="Z343" s="17">
        <v>53</v>
      </c>
    </row>
    <row r="344" spans="2:26" ht="15.75" x14ac:dyDescent="0.25">
      <c r="B344" t="s">
        <v>751</v>
      </c>
      <c r="C344" t="str">
        <f t="shared" si="22"/>
        <v>1.1.13.7.7</v>
      </c>
      <c r="D344" t="str">
        <f t="shared" si="23"/>
        <v>Berubah</v>
      </c>
      <c r="E344" t="str">
        <f t="shared" si="24"/>
        <v>1.3.1.01.03.07.007</v>
      </c>
      <c r="F344">
        <v>339</v>
      </c>
      <c r="G344" s="9">
        <v>1</v>
      </c>
      <c r="H344" s="9">
        <v>3</v>
      </c>
      <c r="I344" s="9">
        <v>1</v>
      </c>
      <c r="J344" s="10" t="s">
        <v>13</v>
      </c>
      <c r="K344" s="10" t="s">
        <v>24</v>
      </c>
      <c r="L344" s="10" t="s">
        <v>36</v>
      </c>
      <c r="M344" s="10" t="s">
        <v>34</v>
      </c>
      <c r="N344" s="18" t="s">
        <v>395</v>
      </c>
      <c r="O344" t="b">
        <f t="shared" si="25"/>
        <v>1</v>
      </c>
      <c r="R344">
        <v>339</v>
      </c>
      <c r="S344" s="41">
        <v>1</v>
      </c>
      <c r="T344" s="41">
        <v>1</v>
      </c>
      <c r="U344" s="41">
        <v>13</v>
      </c>
      <c r="V344" s="41">
        <v>7</v>
      </c>
      <c r="W344" s="41">
        <v>7</v>
      </c>
      <c r="X344" s="16" t="s">
        <v>395</v>
      </c>
      <c r="Y344" s="17" t="s">
        <v>153</v>
      </c>
      <c r="Z344" s="17">
        <v>54</v>
      </c>
    </row>
    <row r="345" spans="2:26" ht="15.75" x14ac:dyDescent="0.25">
      <c r="B345" t="s">
        <v>752</v>
      </c>
      <c r="C345" t="str">
        <f t="shared" si="22"/>
        <v>1.1.13.7.8</v>
      </c>
      <c r="D345" t="str">
        <f t="shared" si="23"/>
        <v>Berubah</v>
      </c>
      <c r="E345" t="str">
        <f t="shared" si="24"/>
        <v>1.3.1.01.03.07.008</v>
      </c>
      <c r="F345">
        <v>340</v>
      </c>
      <c r="G345" s="9">
        <v>1</v>
      </c>
      <c r="H345" s="9">
        <v>3</v>
      </c>
      <c r="I345" s="9">
        <v>1</v>
      </c>
      <c r="J345" s="10" t="s">
        <v>13</v>
      </c>
      <c r="K345" s="10" t="s">
        <v>24</v>
      </c>
      <c r="L345" s="10" t="s">
        <v>36</v>
      </c>
      <c r="M345" s="10" t="s">
        <v>37</v>
      </c>
      <c r="N345" s="18" t="s">
        <v>396</v>
      </c>
      <c r="O345" t="b">
        <f t="shared" si="25"/>
        <v>1</v>
      </c>
      <c r="R345">
        <v>340</v>
      </c>
      <c r="S345" s="41">
        <v>1</v>
      </c>
      <c r="T345" s="41">
        <v>1</v>
      </c>
      <c r="U345" s="41">
        <v>13</v>
      </c>
      <c r="V345" s="41">
        <v>7</v>
      </c>
      <c r="W345" s="41">
        <v>8</v>
      </c>
      <c r="X345" s="16" t="s">
        <v>396</v>
      </c>
      <c r="Y345" s="17" t="s">
        <v>153</v>
      </c>
      <c r="Z345" s="17">
        <v>55</v>
      </c>
    </row>
    <row r="346" spans="2:26" ht="15.75" x14ac:dyDescent="0.25">
      <c r="B346" t="s">
        <v>753</v>
      </c>
      <c r="C346" t="str">
        <f t="shared" si="22"/>
        <v>1.1.13.7.9</v>
      </c>
      <c r="D346" t="str">
        <f t="shared" si="23"/>
        <v>Berubah</v>
      </c>
      <c r="E346" t="str">
        <f t="shared" si="24"/>
        <v>1.3.1.01.03.07.009</v>
      </c>
      <c r="F346">
        <v>341</v>
      </c>
      <c r="G346" s="9">
        <v>1</v>
      </c>
      <c r="H346" s="9">
        <v>3</v>
      </c>
      <c r="I346" s="9">
        <v>1</v>
      </c>
      <c r="J346" s="10" t="s">
        <v>13</v>
      </c>
      <c r="K346" s="10" t="s">
        <v>24</v>
      </c>
      <c r="L346" s="10" t="s">
        <v>36</v>
      </c>
      <c r="M346" s="10" t="s">
        <v>40</v>
      </c>
      <c r="N346" s="18" t="s">
        <v>397</v>
      </c>
      <c r="O346" t="b">
        <f>N346=X346</f>
        <v>1</v>
      </c>
      <c r="R346">
        <v>341</v>
      </c>
      <c r="S346" s="41">
        <v>1</v>
      </c>
      <c r="T346" s="41">
        <v>1</v>
      </c>
      <c r="U346" s="41">
        <v>13</v>
      </c>
      <c r="V346" s="41">
        <v>7</v>
      </c>
      <c r="W346" s="41">
        <v>9</v>
      </c>
      <c r="X346" s="16" t="s">
        <v>397</v>
      </c>
      <c r="Y346" s="17" t="s">
        <v>153</v>
      </c>
      <c r="Z346" s="17">
        <v>56</v>
      </c>
    </row>
    <row r="347" spans="2:26" x14ac:dyDescent="0.25">
      <c r="B347" t="s">
        <v>469</v>
      </c>
      <c r="C347" t="str">
        <f t="shared" si="22"/>
        <v>....</v>
      </c>
      <c r="D347" t="str">
        <f t="shared" si="23"/>
        <v>Bertambah</v>
      </c>
      <c r="E347" t="str">
        <f t="shared" si="24"/>
        <v>1.3.1.01.03.07.010</v>
      </c>
      <c r="F347" s="14">
        <v>342</v>
      </c>
      <c r="G347" s="24">
        <v>1</v>
      </c>
      <c r="H347" s="24">
        <v>3</v>
      </c>
      <c r="I347" s="24">
        <v>1</v>
      </c>
      <c r="J347" s="25" t="s">
        <v>13</v>
      </c>
      <c r="K347" s="25" t="s">
        <v>24</v>
      </c>
      <c r="L347" s="25" t="s">
        <v>36</v>
      </c>
      <c r="M347" s="25" t="s">
        <v>43</v>
      </c>
      <c r="N347" s="26" t="s">
        <v>398</v>
      </c>
      <c r="O347" s="14" t="b">
        <f t="shared" si="25"/>
        <v>0</v>
      </c>
      <c r="P347" s="14"/>
      <c r="Q347" s="14"/>
      <c r="R347" s="14">
        <v>342</v>
      </c>
      <c r="S347" s="28"/>
      <c r="T347" s="28"/>
      <c r="U347" s="28"/>
      <c r="V347" s="28"/>
      <c r="W347" s="28"/>
      <c r="X347" s="28"/>
      <c r="Y347" s="28"/>
      <c r="Z347" s="28"/>
    </row>
    <row r="348" spans="2:26" s="1" customFormat="1" ht="15.75" x14ac:dyDescent="0.25">
      <c r="B348" t="s">
        <v>754</v>
      </c>
      <c r="C348" t="str">
        <f t="shared" si="22"/>
        <v>1.1.13.7.10</v>
      </c>
      <c r="D348" t="str">
        <f t="shared" si="23"/>
        <v>Berubah</v>
      </c>
      <c r="E348" t="str">
        <f t="shared" si="24"/>
        <v>1.3.1.01.03.07.011</v>
      </c>
      <c r="F348" s="1">
        <v>343</v>
      </c>
      <c r="G348" s="19">
        <v>1</v>
      </c>
      <c r="H348" s="19">
        <v>3</v>
      </c>
      <c r="I348" s="19">
        <v>1</v>
      </c>
      <c r="J348" s="20" t="s">
        <v>13</v>
      </c>
      <c r="K348" s="20" t="s">
        <v>24</v>
      </c>
      <c r="L348" s="20" t="s">
        <v>36</v>
      </c>
      <c r="M348" s="20" t="s">
        <v>46</v>
      </c>
      <c r="N348" s="21" t="s">
        <v>50</v>
      </c>
      <c r="O348" s="1" t="b">
        <f t="shared" si="25"/>
        <v>0</v>
      </c>
      <c r="R348" s="1">
        <v>343</v>
      </c>
      <c r="S348" s="42">
        <v>1</v>
      </c>
      <c r="T348" s="42">
        <v>1</v>
      </c>
      <c r="U348" s="42">
        <v>13</v>
      </c>
      <c r="V348" s="42">
        <v>7</v>
      </c>
      <c r="W348" s="42">
        <v>10</v>
      </c>
      <c r="X348" s="22" t="s">
        <v>48</v>
      </c>
      <c r="Y348" s="23" t="s">
        <v>153</v>
      </c>
      <c r="Z348" s="23">
        <v>57</v>
      </c>
    </row>
    <row r="349" spans="2:26" ht="15.75" x14ac:dyDescent="0.25">
      <c r="B349" t="s">
        <v>755</v>
      </c>
      <c r="C349" t="str">
        <f t="shared" si="22"/>
        <v>1.1.13.8.0</v>
      </c>
      <c r="D349" t="str">
        <f t="shared" si="23"/>
        <v>Berubah</v>
      </c>
      <c r="E349" t="str">
        <f t="shared" si="24"/>
        <v>1.3.1.01.03.08.</v>
      </c>
      <c r="F349">
        <v>344</v>
      </c>
      <c r="G349" s="9">
        <v>1</v>
      </c>
      <c r="H349" s="9">
        <v>3</v>
      </c>
      <c r="I349" s="9">
        <v>1</v>
      </c>
      <c r="J349" s="10" t="s">
        <v>13</v>
      </c>
      <c r="K349" s="10" t="s">
        <v>24</v>
      </c>
      <c r="L349" s="10" t="s">
        <v>39</v>
      </c>
      <c r="M349" s="10"/>
      <c r="N349" s="18" t="s">
        <v>399</v>
      </c>
      <c r="O349" t="b">
        <f t="shared" si="25"/>
        <v>1</v>
      </c>
      <c r="R349">
        <v>344</v>
      </c>
      <c r="S349" s="41">
        <v>1</v>
      </c>
      <c r="T349" s="41">
        <v>1</v>
      </c>
      <c r="U349" s="41">
        <v>13</v>
      </c>
      <c r="V349" s="41">
        <v>8</v>
      </c>
      <c r="W349" s="41">
        <v>0</v>
      </c>
      <c r="X349" s="16" t="s">
        <v>399</v>
      </c>
      <c r="Y349" s="17" t="s">
        <v>153</v>
      </c>
      <c r="Z349" s="17">
        <v>58</v>
      </c>
    </row>
    <row r="350" spans="2:26" ht="15.75" x14ac:dyDescent="0.25">
      <c r="B350" t="s">
        <v>756</v>
      </c>
      <c r="C350" t="str">
        <f t="shared" si="22"/>
        <v>1.1.13.8.1</v>
      </c>
      <c r="D350" t="str">
        <f t="shared" si="23"/>
        <v>Berubah</v>
      </c>
      <c r="E350" t="str">
        <f t="shared" si="24"/>
        <v>1.3.1.01.03.08.001</v>
      </c>
      <c r="F350">
        <v>345</v>
      </c>
      <c r="G350" s="9">
        <v>1</v>
      </c>
      <c r="H350" s="9">
        <v>3</v>
      </c>
      <c r="I350" s="9">
        <v>1</v>
      </c>
      <c r="J350" s="10" t="s">
        <v>13</v>
      </c>
      <c r="K350" s="10" t="s">
        <v>24</v>
      </c>
      <c r="L350" s="10" t="s">
        <v>39</v>
      </c>
      <c r="M350" s="10" t="s">
        <v>17</v>
      </c>
      <c r="N350" s="18" t="s">
        <v>400</v>
      </c>
      <c r="O350" t="b">
        <f t="shared" si="25"/>
        <v>1</v>
      </c>
      <c r="R350">
        <v>345</v>
      </c>
      <c r="S350" s="41">
        <v>1</v>
      </c>
      <c r="T350" s="41">
        <v>1</v>
      </c>
      <c r="U350" s="41">
        <v>13</v>
      </c>
      <c r="V350" s="41">
        <v>8</v>
      </c>
      <c r="W350" s="41">
        <v>1</v>
      </c>
      <c r="X350" s="16" t="s">
        <v>400</v>
      </c>
      <c r="Y350" s="17" t="s">
        <v>153</v>
      </c>
      <c r="Z350" s="17">
        <v>59</v>
      </c>
    </row>
    <row r="351" spans="2:26" ht="15.75" x14ac:dyDescent="0.25">
      <c r="B351" t="s">
        <v>757</v>
      </c>
      <c r="C351" t="str">
        <f t="shared" si="22"/>
        <v>1.1.13.8.2</v>
      </c>
      <c r="D351" t="str">
        <f t="shared" si="23"/>
        <v>Berubah</v>
      </c>
      <c r="E351" t="str">
        <f t="shared" si="24"/>
        <v>1.3.1.01.03.08.002</v>
      </c>
      <c r="F351">
        <v>346</v>
      </c>
      <c r="G351" s="9">
        <v>1</v>
      </c>
      <c r="H351" s="9">
        <v>3</v>
      </c>
      <c r="I351" s="9">
        <v>1</v>
      </c>
      <c r="J351" s="10" t="s">
        <v>13</v>
      </c>
      <c r="K351" s="10" t="s">
        <v>24</v>
      </c>
      <c r="L351" s="10" t="s">
        <v>39</v>
      </c>
      <c r="M351" s="10" t="s">
        <v>19</v>
      </c>
      <c r="N351" s="18" t="s">
        <v>401</v>
      </c>
      <c r="O351" t="b">
        <f t="shared" si="25"/>
        <v>1</v>
      </c>
      <c r="R351">
        <v>346</v>
      </c>
      <c r="S351" s="41">
        <v>1</v>
      </c>
      <c r="T351" s="41">
        <v>1</v>
      </c>
      <c r="U351" s="41">
        <v>13</v>
      </c>
      <c r="V351" s="41">
        <v>8</v>
      </c>
      <c r="W351" s="41">
        <v>2</v>
      </c>
      <c r="X351" s="16" t="s">
        <v>401</v>
      </c>
      <c r="Y351" s="17" t="s">
        <v>153</v>
      </c>
      <c r="Z351" s="17">
        <v>60</v>
      </c>
    </row>
    <row r="352" spans="2:26" ht="15.75" x14ac:dyDescent="0.25">
      <c r="B352" t="s">
        <v>758</v>
      </c>
      <c r="C352" t="str">
        <f t="shared" si="22"/>
        <v>1.1.13.8.3</v>
      </c>
      <c r="D352" t="str">
        <f t="shared" si="23"/>
        <v>Berubah</v>
      </c>
      <c r="E352" t="str">
        <f t="shared" si="24"/>
        <v>1.3.1.01.03.08.003</v>
      </c>
      <c r="F352">
        <v>347</v>
      </c>
      <c r="G352" s="9">
        <v>1</v>
      </c>
      <c r="H352" s="9">
        <v>3</v>
      </c>
      <c r="I352" s="9">
        <v>1</v>
      </c>
      <c r="J352" s="10" t="s">
        <v>13</v>
      </c>
      <c r="K352" s="10" t="s">
        <v>24</v>
      </c>
      <c r="L352" s="10" t="s">
        <v>39</v>
      </c>
      <c r="M352" s="10" t="s">
        <v>22</v>
      </c>
      <c r="N352" s="18" t="s">
        <v>402</v>
      </c>
      <c r="O352" t="b">
        <f t="shared" si="25"/>
        <v>1</v>
      </c>
      <c r="R352">
        <v>347</v>
      </c>
      <c r="S352" s="41">
        <v>1</v>
      </c>
      <c r="T352" s="41">
        <v>1</v>
      </c>
      <c r="U352" s="41">
        <v>13</v>
      </c>
      <c r="V352" s="41">
        <v>8</v>
      </c>
      <c r="W352" s="41">
        <v>3</v>
      </c>
      <c r="X352" s="16" t="s">
        <v>402</v>
      </c>
      <c r="Y352" s="17" t="s">
        <v>153</v>
      </c>
      <c r="Z352" s="17">
        <v>61</v>
      </c>
    </row>
    <row r="353" spans="2:26" ht="15.75" x14ac:dyDescent="0.25">
      <c r="B353" t="s">
        <v>759</v>
      </c>
      <c r="C353" t="str">
        <f t="shared" si="22"/>
        <v>1.1.13.8.4</v>
      </c>
      <c r="D353" t="str">
        <f t="shared" si="23"/>
        <v>Berubah</v>
      </c>
      <c r="E353" t="str">
        <f t="shared" si="24"/>
        <v>1.3.1.01.03.08.004</v>
      </c>
      <c r="F353">
        <v>348</v>
      </c>
      <c r="G353" s="9">
        <v>1</v>
      </c>
      <c r="H353" s="9">
        <v>3</v>
      </c>
      <c r="I353" s="9">
        <v>1</v>
      </c>
      <c r="J353" s="10" t="s">
        <v>13</v>
      </c>
      <c r="K353" s="10" t="s">
        <v>24</v>
      </c>
      <c r="L353" s="10" t="s">
        <v>39</v>
      </c>
      <c r="M353" s="10" t="s">
        <v>25</v>
      </c>
      <c r="N353" s="18" t="s">
        <v>403</v>
      </c>
      <c r="O353" t="b">
        <f t="shared" si="25"/>
        <v>1</v>
      </c>
      <c r="R353">
        <v>348</v>
      </c>
      <c r="S353" s="41">
        <v>1</v>
      </c>
      <c r="T353" s="41">
        <v>1</v>
      </c>
      <c r="U353" s="41">
        <v>13</v>
      </c>
      <c r="V353" s="41">
        <v>8</v>
      </c>
      <c r="W353" s="41">
        <v>4</v>
      </c>
      <c r="X353" s="16" t="s">
        <v>403</v>
      </c>
      <c r="Y353" s="17" t="s">
        <v>153</v>
      </c>
      <c r="Z353" s="17">
        <v>62</v>
      </c>
    </row>
    <row r="354" spans="2:26" ht="15.75" x14ac:dyDescent="0.25">
      <c r="B354" t="s">
        <v>760</v>
      </c>
      <c r="C354" t="str">
        <f t="shared" si="22"/>
        <v>1.1.13.8.5</v>
      </c>
      <c r="D354" t="str">
        <f t="shared" si="23"/>
        <v>Berubah</v>
      </c>
      <c r="E354" t="str">
        <f t="shared" si="24"/>
        <v>1.3.1.01.03.08.005</v>
      </c>
      <c r="F354">
        <v>349</v>
      </c>
      <c r="G354" s="9">
        <v>1</v>
      </c>
      <c r="H354" s="9">
        <v>3</v>
      </c>
      <c r="I354" s="9">
        <v>1</v>
      </c>
      <c r="J354" s="10" t="s">
        <v>13</v>
      </c>
      <c r="K354" s="10" t="s">
        <v>24</v>
      </c>
      <c r="L354" s="10" t="s">
        <v>39</v>
      </c>
      <c r="M354" s="10" t="s">
        <v>28</v>
      </c>
      <c r="N354" s="18" t="s">
        <v>404</v>
      </c>
      <c r="O354" t="b">
        <f t="shared" si="25"/>
        <v>1</v>
      </c>
      <c r="R354">
        <v>349</v>
      </c>
      <c r="S354" s="41">
        <v>1</v>
      </c>
      <c r="T354" s="41">
        <v>1</v>
      </c>
      <c r="U354" s="41">
        <v>13</v>
      </c>
      <c r="V354" s="41">
        <v>8</v>
      </c>
      <c r="W354" s="41">
        <v>5</v>
      </c>
      <c r="X354" s="16" t="s">
        <v>404</v>
      </c>
      <c r="Y354" s="17" t="s">
        <v>153</v>
      </c>
      <c r="Z354" s="17">
        <v>63</v>
      </c>
    </row>
    <row r="355" spans="2:26" ht="15.75" x14ac:dyDescent="0.25">
      <c r="B355" t="s">
        <v>761</v>
      </c>
      <c r="C355" t="str">
        <f t="shared" si="22"/>
        <v>1.1.13.8.6</v>
      </c>
      <c r="D355" t="str">
        <f t="shared" si="23"/>
        <v>Berubah</v>
      </c>
      <c r="E355" t="str">
        <f t="shared" si="24"/>
        <v>1.3.1.01.03.08.006</v>
      </c>
      <c r="F355">
        <v>350</v>
      </c>
      <c r="G355" s="9">
        <v>1</v>
      </c>
      <c r="H355" s="9">
        <v>3</v>
      </c>
      <c r="I355" s="9">
        <v>1</v>
      </c>
      <c r="J355" s="10" t="s">
        <v>13</v>
      </c>
      <c r="K355" s="10" t="s">
        <v>24</v>
      </c>
      <c r="L355" s="10" t="s">
        <v>39</v>
      </c>
      <c r="M355" s="10" t="s">
        <v>31</v>
      </c>
      <c r="N355" s="18" t="s">
        <v>405</v>
      </c>
      <c r="O355" t="b">
        <f t="shared" si="25"/>
        <v>1</v>
      </c>
      <c r="R355">
        <v>350</v>
      </c>
      <c r="S355" s="41">
        <v>1</v>
      </c>
      <c r="T355" s="41">
        <v>1</v>
      </c>
      <c r="U355" s="41">
        <v>13</v>
      </c>
      <c r="V355" s="41">
        <v>8</v>
      </c>
      <c r="W355" s="41">
        <v>6</v>
      </c>
      <c r="X355" s="16" t="s">
        <v>405</v>
      </c>
      <c r="Y355" s="17" t="s">
        <v>153</v>
      </c>
      <c r="Z355" s="17">
        <v>64</v>
      </c>
    </row>
    <row r="356" spans="2:26" ht="15.75" x14ac:dyDescent="0.25">
      <c r="B356" t="s">
        <v>762</v>
      </c>
      <c r="C356" t="str">
        <f t="shared" si="22"/>
        <v>1.1.13.8.7</v>
      </c>
      <c r="D356" t="str">
        <f t="shared" si="23"/>
        <v>Berubah</v>
      </c>
      <c r="E356" t="str">
        <f t="shared" si="24"/>
        <v>1.3.1.01.03.08.007</v>
      </c>
      <c r="F356">
        <v>351</v>
      </c>
      <c r="G356" s="9">
        <v>1</v>
      </c>
      <c r="H356" s="9">
        <v>3</v>
      </c>
      <c r="I356" s="9">
        <v>1</v>
      </c>
      <c r="J356" s="10" t="s">
        <v>13</v>
      </c>
      <c r="K356" s="10" t="s">
        <v>24</v>
      </c>
      <c r="L356" s="10" t="s">
        <v>39</v>
      </c>
      <c r="M356" s="10" t="s">
        <v>34</v>
      </c>
      <c r="N356" s="18" t="s">
        <v>406</v>
      </c>
      <c r="O356" t="b">
        <f t="shared" si="25"/>
        <v>1</v>
      </c>
      <c r="R356">
        <v>351</v>
      </c>
      <c r="S356" s="41">
        <v>1</v>
      </c>
      <c r="T356" s="41">
        <v>1</v>
      </c>
      <c r="U356" s="41">
        <v>13</v>
      </c>
      <c r="V356" s="41">
        <v>8</v>
      </c>
      <c r="W356" s="41">
        <v>7</v>
      </c>
      <c r="X356" s="16" t="s">
        <v>406</v>
      </c>
      <c r="Y356" s="17" t="s">
        <v>153</v>
      </c>
      <c r="Z356" s="17">
        <v>65</v>
      </c>
    </row>
    <row r="357" spans="2:26" x14ac:dyDescent="0.25">
      <c r="B357" t="s">
        <v>469</v>
      </c>
      <c r="C357" t="str">
        <f t="shared" si="22"/>
        <v>....</v>
      </c>
      <c r="D357" t="str">
        <f t="shared" si="23"/>
        <v>Bertambah</v>
      </c>
      <c r="E357" t="str">
        <f t="shared" si="24"/>
        <v>1.3.1.01.03.08.008</v>
      </c>
      <c r="F357" s="14">
        <v>352</v>
      </c>
      <c r="G357" s="24">
        <v>1</v>
      </c>
      <c r="H357" s="24">
        <v>3</v>
      </c>
      <c r="I357" s="24">
        <v>1</v>
      </c>
      <c r="J357" s="25" t="s">
        <v>13</v>
      </c>
      <c r="K357" s="25" t="s">
        <v>24</v>
      </c>
      <c r="L357" s="25" t="s">
        <v>39</v>
      </c>
      <c r="M357" s="25" t="s">
        <v>37</v>
      </c>
      <c r="N357" s="26" t="s">
        <v>407</v>
      </c>
      <c r="O357" s="14" t="b">
        <f t="shared" si="25"/>
        <v>0</v>
      </c>
      <c r="P357" s="14"/>
      <c r="Q357" s="14"/>
      <c r="R357" s="14">
        <v>352</v>
      </c>
      <c r="S357" s="28"/>
      <c r="T357" s="28"/>
      <c r="U357" s="28"/>
      <c r="V357" s="28"/>
      <c r="W357" s="28"/>
      <c r="X357" s="28"/>
      <c r="Y357" s="28"/>
      <c r="Z357" s="28"/>
    </row>
    <row r="358" spans="2:26" s="1" customFormat="1" ht="15.75" x14ac:dyDescent="0.25">
      <c r="B358" t="s">
        <v>763</v>
      </c>
      <c r="C358" t="str">
        <f t="shared" si="22"/>
        <v>1.1.13.8.8</v>
      </c>
      <c r="D358" t="str">
        <f t="shared" si="23"/>
        <v>Berubah</v>
      </c>
      <c r="E358" t="str">
        <f t="shared" si="24"/>
        <v>1.3.1.01.03.08.009</v>
      </c>
      <c r="F358" s="1">
        <v>353</v>
      </c>
      <c r="G358" s="19">
        <v>1</v>
      </c>
      <c r="H358" s="19">
        <v>3</v>
      </c>
      <c r="I358" s="19">
        <v>1</v>
      </c>
      <c r="J358" s="20" t="s">
        <v>13</v>
      </c>
      <c r="K358" s="20" t="s">
        <v>24</v>
      </c>
      <c r="L358" s="20" t="s">
        <v>39</v>
      </c>
      <c r="M358" s="20" t="s">
        <v>40</v>
      </c>
      <c r="N358" s="21" t="s">
        <v>50</v>
      </c>
      <c r="O358" s="1" t="b">
        <f t="shared" si="25"/>
        <v>0</v>
      </c>
      <c r="R358" s="1">
        <v>353</v>
      </c>
      <c r="S358" s="42">
        <v>1</v>
      </c>
      <c r="T358" s="42">
        <v>1</v>
      </c>
      <c r="U358" s="42">
        <v>13</v>
      </c>
      <c r="V358" s="42">
        <v>8</v>
      </c>
      <c r="W358" s="42">
        <v>8</v>
      </c>
      <c r="X358" s="22" t="s">
        <v>48</v>
      </c>
      <c r="Y358" s="23" t="s">
        <v>153</v>
      </c>
      <c r="Z358" s="23">
        <v>66</v>
      </c>
    </row>
    <row r="359" spans="2:26" ht="15.75" x14ac:dyDescent="0.25">
      <c r="B359" t="s">
        <v>764</v>
      </c>
      <c r="C359" t="str">
        <f t="shared" si="22"/>
        <v>1.1.13.9.0</v>
      </c>
      <c r="D359" t="str">
        <f t="shared" si="23"/>
        <v>Berubah</v>
      </c>
      <c r="E359" t="str">
        <f t="shared" si="24"/>
        <v>1.3.1.01.03.09.</v>
      </c>
      <c r="F359">
        <v>354</v>
      </c>
      <c r="G359" s="9">
        <v>1</v>
      </c>
      <c r="H359" s="9">
        <v>3</v>
      </c>
      <c r="I359" s="9">
        <v>1</v>
      </c>
      <c r="J359" s="10" t="s">
        <v>13</v>
      </c>
      <c r="K359" s="10" t="s">
        <v>24</v>
      </c>
      <c r="L359" s="10" t="s">
        <v>42</v>
      </c>
      <c r="M359" s="10"/>
      <c r="N359" s="18" t="s">
        <v>408</v>
      </c>
      <c r="O359" t="b">
        <f t="shared" si="25"/>
        <v>1</v>
      </c>
      <c r="R359">
        <v>354</v>
      </c>
      <c r="S359" s="41">
        <v>1</v>
      </c>
      <c r="T359" s="41">
        <v>1</v>
      </c>
      <c r="U359" s="41">
        <v>13</v>
      </c>
      <c r="V359" s="41">
        <v>9</v>
      </c>
      <c r="W359" s="41">
        <v>0</v>
      </c>
      <c r="X359" s="16" t="s">
        <v>409</v>
      </c>
      <c r="Y359" s="17" t="s">
        <v>153</v>
      </c>
      <c r="Z359" s="17">
        <v>67</v>
      </c>
    </row>
    <row r="360" spans="2:26" ht="15.75" x14ac:dyDescent="0.25">
      <c r="B360" t="s">
        <v>765</v>
      </c>
      <c r="C360" t="str">
        <f t="shared" si="22"/>
        <v>1.1.13.9.1</v>
      </c>
      <c r="D360" t="str">
        <f t="shared" si="23"/>
        <v>Berubah</v>
      </c>
      <c r="E360" t="str">
        <f t="shared" si="24"/>
        <v>1.3.1.01.03.09.001</v>
      </c>
      <c r="F360">
        <v>355</v>
      </c>
      <c r="G360" s="9">
        <v>1</v>
      </c>
      <c r="H360" s="9">
        <v>3</v>
      </c>
      <c r="I360" s="9">
        <v>1</v>
      </c>
      <c r="J360" s="10" t="s">
        <v>13</v>
      </c>
      <c r="K360" s="10" t="s">
        <v>24</v>
      </c>
      <c r="L360" s="10" t="s">
        <v>42</v>
      </c>
      <c r="M360" s="10" t="s">
        <v>17</v>
      </c>
      <c r="N360" s="18" t="s">
        <v>410</v>
      </c>
      <c r="O360" t="b">
        <f t="shared" si="25"/>
        <v>1</v>
      </c>
      <c r="R360">
        <v>355</v>
      </c>
      <c r="S360" s="41">
        <v>1</v>
      </c>
      <c r="T360" s="41">
        <v>1</v>
      </c>
      <c r="U360" s="41">
        <v>13</v>
      </c>
      <c r="V360" s="41">
        <v>9</v>
      </c>
      <c r="W360" s="41">
        <v>1</v>
      </c>
      <c r="X360" s="16" t="s">
        <v>411</v>
      </c>
      <c r="Y360" s="17" t="s">
        <v>153</v>
      </c>
      <c r="Z360" s="17">
        <v>68</v>
      </c>
    </row>
    <row r="361" spans="2:26" ht="15.75" x14ac:dyDescent="0.25">
      <c r="B361" t="s">
        <v>766</v>
      </c>
      <c r="C361" t="str">
        <f t="shared" si="22"/>
        <v>1.1.13.9.2</v>
      </c>
      <c r="D361" t="str">
        <f t="shared" si="23"/>
        <v>Berubah</v>
      </c>
      <c r="E361" t="str">
        <f t="shared" si="24"/>
        <v>1.3.1.01.03.09.002</v>
      </c>
      <c r="F361">
        <v>356</v>
      </c>
      <c r="G361" s="9">
        <v>1</v>
      </c>
      <c r="H361" s="9">
        <v>3</v>
      </c>
      <c r="I361" s="9">
        <v>1</v>
      </c>
      <c r="J361" s="10" t="s">
        <v>13</v>
      </c>
      <c r="K361" s="10" t="s">
        <v>24</v>
      </c>
      <c r="L361" s="10" t="s">
        <v>42</v>
      </c>
      <c r="M361" s="10" t="s">
        <v>19</v>
      </c>
      <c r="N361" s="18" t="s">
        <v>412</v>
      </c>
      <c r="O361" t="b">
        <f t="shared" si="25"/>
        <v>1</v>
      </c>
      <c r="R361">
        <v>356</v>
      </c>
      <c r="S361" s="41">
        <v>1</v>
      </c>
      <c r="T361" s="41">
        <v>1</v>
      </c>
      <c r="U361" s="41">
        <v>13</v>
      </c>
      <c r="V361" s="41">
        <v>9</v>
      </c>
      <c r="W361" s="41">
        <v>2</v>
      </c>
      <c r="X361" s="16" t="s">
        <v>413</v>
      </c>
      <c r="Y361" s="17" t="s">
        <v>153</v>
      </c>
      <c r="Z361" s="17">
        <v>69</v>
      </c>
    </row>
    <row r="362" spans="2:26" ht="15.75" x14ac:dyDescent="0.25">
      <c r="B362" t="s">
        <v>767</v>
      </c>
      <c r="C362" t="str">
        <f t="shared" si="22"/>
        <v>1.1.13.9.3</v>
      </c>
      <c r="D362" t="str">
        <f t="shared" si="23"/>
        <v>Berubah</v>
      </c>
      <c r="E362" t="str">
        <f t="shared" si="24"/>
        <v>1.3.1.01.03.09.003</v>
      </c>
      <c r="F362">
        <v>357</v>
      </c>
      <c r="G362" s="9">
        <v>1</v>
      </c>
      <c r="H362" s="9">
        <v>3</v>
      </c>
      <c r="I362" s="9">
        <v>1</v>
      </c>
      <c r="J362" s="10" t="s">
        <v>13</v>
      </c>
      <c r="K362" s="10" t="s">
        <v>24</v>
      </c>
      <c r="L362" s="10" t="s">
        <v>42</v>
      </c>
      <c r="M362" s="10" t="s">
        <v>22</v>
      </c>
      <c r="N362" s="18" t="s">
        <v>414</v>
      </c>
      <c r="O362" t="b">
        <f t="shared" si="25"/>
        <v>1</v>
      </c>
      <c r="R362">
        <v>357</v>
      </c>
      <c r="S362" s="41">
        <v>1</v>
      </c>
      <c r="T362" s="41">
        <v>1</v>
      </c>
      <c r="U362" s="41">
        <v>13</v>
      </c>
      <c r="V362" s="41">
        <v>9</v>
      </c>
      <c r="W362" s="41">
        <v>3</v>
      </c>
      <c r="X362" s="16" t="s">
        <v>414</v>
      </c>
      <c r="Y362" s="17" t="s">
        <v>153</v>
      </c>
      <c r="Z362" s="17">
        <v>70</v>
      </c>
    </row>
    <row r="363" spans="2:26" ht="15.75" x14ac:dyDescent="0.25">
      <c r="B363" t="s">
        <v>768</v>
      </c>
      <c r="C363" t="str">
        <f t="shared" si="22"/>
        <v>1.1.13.9.4</v>
      </c>
      <c r="D363" t="str">
        <f t="shared" si="23"/>
        <v>Berubah</v>
      </c>
      <c r="E363" t="str">
        <f t="shared" si="24"/>
        <v>1.3.1.01.03.09.004</v>
      </c>
      <c r="F363">
        <v>358</v>
      </c>
      <c r="G363" s="9">
        <v>1</v>
      </c>
      <c r="H363" s="9">
        <v>3</v>
      </c>
      <c r="I363" s="9">
        <v>1</v>
      </c>
      <c r="J363" s="10" t="s">
        <v>13</v>
      </c>
      <c r="K363" s="10" t="s">
        <v>24</v>
      </c>
      <c r="L363" s="10" t="s">
        <v>42</v>
      </c>
      <c r="M363" s="10" t="s">
        <v>25</v>
      </c>
      <c r="N363" s="18" t="s">
        <v>415</v>
      </c>
      <c r="O363" t="b">
        <f t="shared" si="25"/>
        <v>1</v>
      </c>
      <c r="R363">
        <v>358</v>
      </c>
      <c r="S363" s="41">
        <v>1</v>
      </c>
      <c r="T363" s="41">
        <v>1</v>
      </c>
      <c r="U363" s="41">
        <v>13</v>
      </c>
      <c r="V363" s="41">
        <v>9</v>
      </c>
      <c r="W363" s="41">
        <v>4</v>
      </c>
      <c r="X363" s="16" t="s">
        <v>415</v>
      </c>
      <c r="Y363" s="17" t="s">
        <v>153</v>
      </c>
      <c r="Z363" s="17">
        <v>71</v>
      </c>
    </row>
    <row r="364" spans="2:26" ht="15.75" x14ac:dyDescent="0.25">
      <c r="B364" t="s">
        <v>769</v>
      </c>
      <c r="C364" t="str">
        <f t="shared" si="22"/>
        <v>1.1.13.9.5</v>
      </c>
      <c r="D364" t="str">
        <f t="shared" si="23"/>
        <v>Berubah</v>
      </c>
      <c r="E364" t="str">
        <f t="shared" si="24"/>
        <v>1.3.1.01.03.09.005</v>
      </c>
      <c r="F364">
        <v>359</v>
      </c>
      <c r="G364" s="9">
        <v>1</v>
      </c>
      <c r="H364" s="9">
        <v>3</v>
      </c>
      <c r="I364" s="9">
        <v>1</v>
      </c>
      <c r="J364" s="10" t="s">
        <v>13</v>
      </c>
      <c r="K364" s="10" t="s">
        <v>24</v>
      </c>
      <c r="L364" s="10" t="s">
        <v>42</v>
      </c>
      <c r="M364" s="10" t="s">
        <v>28</v>
      </c>
      <c r="N364" s="18" t="s">
        <v>416</v>
      </c>
      <c r="O364" t="b">
        <f t="shared" si="25"/>
        <v>1</v>
      </c>
      <c r="R364">
        <v>359</v>
      </c>
      <c r="S364" s="41">
        <v>1</v>
      </c>
      <c r="T364" s="41">
        <v>1</v>
      </c>
      <c r="U364" s="41">
        <v>13</v>
      </c>
      <c r="V364" s="41">
        <v>9</v>
      </c>
      <c r="W364" s="41">
        <v>5</v>
      </c>
      <c r="X364" s="16" t="s">
        <v>416</v>
      </c>
      <c r="Y364" s="17" t="s">
        <v>153</v>
      </c>
      <c r="Z364" s="17">
        <v>72</v>
      </c>
    </row>
    <row r="365" spans="2:26" ht="15.75" x14ac:dyDescent="0.25">
      <c r="B365" t="s">
        <v>770</v>
      </c>
      <c r="C365" t="str">
        <f t="shared" si="22"/>
        <v>1.1.13.9.6</v>
      </c>
      <c r="D365" t="str">
        <f t="shared" si="23"/>
        <v>Berubah</v>
      </c>
      <c r="E365" t="str">
        <f t="shared" si="24"/>
        <v>1.3.1.01.03.09.006</v>
      </c>
      <c r="F365">
        <v>360</v>
      </c>
      <c r="G365" s="9">
        <v>1</v>
      </c>
      <c r="H365" s="9">
        <v>3</v>
      </c>
      <c r="I365" s="9">
        <v>1</v>
      </c>
      <c r="J365" s="10" t="s">
        <v>13</v>
      </c>
      <c r="K365" s="10" t="s">
        <v>24</v>
      </c>
      <c r="L365" s="10" t="s">
        <v>42</v>
      </c>
      <c r="M365" s="10" t="s">
        <v>31</v>
      </c>
      <c r="N365" s="18" t="s">
        <v>417</v>
      </c>
      <c r="O365" t="b">
        <f t="shared" si="25"/>
        <v>1</v>
      </c>
      <c r="R365">
        <v>360</v>
      </c>
      <c r="S365" s="41">
        <v>1</v>
      </c>
      <c r="T365" s="41">
        <v>1</v>
      </c>
      <c r="U365" s="41">
        <v>13</v>
      </c>
      <c r="V365" s="41">
        <v>9</v>
      </c>
      <c r="W365" s="41">
        <v>6</v>
      </c>
      <c r="X365" s="16" t="s">
        <v>417</v>
      </c>
      <c r="Y365" s="17" t="s">
        <v>153</v>
      </c>
      <c r="Z365" s="17">
        <v>73</v>
      </c>
    </row>
    <row r="366" spans="2:26" ht="15.75" x14ac:dyDescent="0.25">
      <c r="B366" t="s">
        <v>771</v>
      </c>
      <c r="C366" t="str">
        <f t="shared" si="22"/>
        <v>1.1.13.9.7</v>
      </c>
      <c r="D366" t="str">
        <f t="shared" si="23"/>
        <v>Berubah</v>
      </c>
      <c r="E366" t="str">
        <f t="shared" si="24"/>
        <v>1.3.1.01.03.09.007</v>
      </c>
      <c r="F366" s="1">
        <v>361</v>
      </c>
      <c r="G366" s="19">
        <v>1</v>
      </c>
      <c r="H366" s="19">
        <v>3</v>
      </c>
      <c r="I366" s="19">
        <v>1</v>
      </c>
      <c r="J366" s="20" t="s">
        <v>13</v>
      </c>
      <c r="K366" s="20" t="s">
        <v>24</v>
      </c>
      <c r="L366" s="20" t="s">
        <v>42</v>
      </c>
      <c r="M366" s="20" t="s">
        <v>34</v>
      </c>
      <c r="N366" s="21" t="s">
        <v>418</v>
      </c>
      <c r="O366" s="1" t="b">
        <f t="shared" si="25"/>
        <v>0</v>
      </c>
      <c r="P366" s="1"/>
      <c r="Q366" s="1"/>
      <c r="R366" s="1">
        <v>361</v>
      </c>
      <c r="S366" s="42">
        <v>1</v>
      </c>
      <c r="T366" s="42">
        <v>1</v>
      </c>
      <c r="U366" s="42">
        <v>13</v>
      </c>
      <c r="V366" s="42">
        <v>9</v>
      </c>
      <c r="W366" s="42">
        <v>7</v>
      </c>
      <c r="X366" s="22" t="s">
        <v>419</v>
      </c>
      <c r="Y366" s="23" t="s">
        <v>153</v>
      </c>
      <c r="Z366" s="23">
        <v>74</v>
      </c>
    </row>
    <row r="367" spans="2:26" x14ac:dyDescent="0.25">
      <c r="B367" t="s">
        <v>469</v>
      </c>
      <c r="C367" t="str">
        <f t="shared" si="22"/>
        <v>....</v>
      </c>
      <c r="D367" t="str">
        <f t="shared" si="23"/>
        <v>Bertambah</v>
      </c>
      <c r="E367" t="str">
        <f t="shared" si="24"/>
        <v>1.3.1.01.03.09.008</v>
      </c>
      <c r="F367" s="14">
        <v>362</v>
      </c>
      <c r="G367" s="24">
        <v>1</v>
      </c>
      <c r="H367" s="24">
        <v>3</v>
      </c>
      <c r="I367" s="24">
        <v>1</v>
      </c>
      <c r="J367" s="25" t="s">
        <v>13</v>
      </c>
      <c r="K367" s="25" t="s">
        <v>24</v>
      </c>
      <c r="L367" s="25" t="s">
        <v>42</v>
      </c>
      <c r="M367" s="25" t="s">
        <v>37</v>
      </c>
      <c r="N367" s="26" t="s">
        <v>420</v>
      </c>
      <c r="O367" s="14" t="b">
        <f t="shared" si="25"/>
        <v>0</v>
      </c>
      <c r="P367" s="14"/>
      <c r="Q367" s="14"/>
      <c r="R367" s="14">
        <v>362</v>
      </c>
      <c r="S367" s="28"/>
      <c r="T367" s="28"/>
      <c r="U367" s="28"/>
      <c r="V367" s="28"/>
      <c r="W367" s="28"/>
      <c r="X367" s="28"/>
      <c r="Y367" s="28"/>
      <c r="Z367" s="28"/>
    </row>
    <row r="368" spans="2:26" s="1" customFormat="1" ht="15.75" x14ac:dyDescent="0.25">
      <c r="B368" t="s">
        <v>772</v>
      </c>
      <c r="C368" t="str">
        <f t="shared" si="22"/>
        <v>1.1.13.9.8</v>
      </c>
      <c r="D368" t="str">
        <f t="shared" si="23"/>
        <v>Berubah</v>
      </c>
      <c r="E368" t="str">
        <f t="shared" si="24"/>
        <v>1.3.1.01.03.09.009</v>
      </c>
      <c r="F368" s="1">
        <v>363</v>
      </c>
      <c r="G368" s="19">
        <v>1</v>
      </c>
      <c r="H368" s="19">
        <v>3</v>
      </c>
      <c r="I368" s="19">
        <v>1</v>
      </c>
      <c r="J368" s="20" t="s">
        <v>13</v>
      </c>
      <c r="K368" s="20" t="s">
        <v>24</v>
      </c>
      <c r="L368" s="20" t="s">
        <v>42</v>
      </c>
      <c r="M368" s="20" t="s">
        <v>40</v>
      </c>
      <c r="N368" s="21" t="s">
        <v>50</v>
      </c>
      <c r="O368" s="1" t="b">
        <f t="shared" si="25"/>
        <v>0</v>
      </c>
      <c r="R368" s="1">
        <v>363</v>
      </c>
      <c r="S368" s="42">
        <v>1</v>
      </c>
      <c r="T368" s="42">
        <v>1</v>
      </c>
      <c r="U368" s="42">
        <v>13</v>
      </c>
      <c r="V368" s="42">
        <v>9</v>
      </c>
      <c r="W368" s="42">
        <v>8</v>
      </c>
      <c r="X368" s="22" t="s">
        <v>48</v>
      </c>
      <c r="Y368" s="23" t="s">
        <v>153</v>
      </c>
      <c r="Z368" s="23">
        <v>75</v>
      </c>
    </row>
    <row r="369" spans="2:26" ht="15.75" x14ac:dyDescent="0.25">
      <c r="B369" t="s">
        <v>773</v>
      </c>
      <c r="C369" t="str">
        <f t="shared" si="22"/>
        <v>1.1.13.10.0</v>
      </c>
      <c r="D369" t="str">
        <f t="shared" si="23"/>
        <v>Berubah</v>
      </c>
      <c r="E369" t="str">
        <f t="shared" si="24"/>
        <v>1.3.1.01.03.10.</v>
      </c>
      <c r="F369">
        <v>364</v>
      </c>
      <c r="G369" s="9">
        <v>1</v>
      </c>
      <c r="H369" s="9">
        <v>3</v>
      </c>
      <c r="I369" s="9">
        <v>1</v>
      </c>
      <c r="J369" s="10" t="s">
        <v>13</v>
      </c>
      <c r="K369" s="10" t="s">
        <v>24</v>
      </c>
      <c r="L369" s="10">
        <v>10</v>
      </c>
      <c r="M369" s="10"/>
      <c r="N369" s="18" t="s">
        <v>421</v>
      </c>
      <c r="O369" t="b">
        <f t="shared" si="25"/>
        <v>1</v>
      </c>
      <c r="R369">
        <v>364</v>
      </c>
      <c r="S369" s="41">
        <v>1</v>
      </c>
      <c r="T369" s="41">
        <v>1</v>
      </c>
      <c r="U369" s="41">
        <v>13</v>
      </c>
      <c r="V369" s="41">
        <v>10</v>
      </c>
      <c r="W369" s="41">
        <v>0</v>
      </c>
      <c r="X369" s="16" t="s">
        <v>421</v>
      </c>
      <c r="Y369" s="17" t="s">
        <v>153</v>
      </c>
      <c r="Z369" s="17">
        <v>76</v>
      </c>
    </row>
    <row r="370" spans="2:26" ht="15.75" x14ac:dyDescent="0.25">
      <c r="B370" t="s">
        <v>774</v>
      </c>
      <c r="C370" t="str">
        <f t="shared" si="22"/>
        <v>1.1.13.10.1</v>
      </c>
      <c r="D370" t="str">
        <f t="shared" si="23"/>
        <v>Berubah</v>
      </c>
      <c r="E370" t="str">
        <f t="shared" si="24"/>
        <v>1.3.1.01.03.10.001</v>
      </c>
      <c r="F370">
        <v>365</v>
      </c>
      <c r="G370" s="9">
        <v>1</v>
      </c>
      <c r="H370" s="9">
        <v>3</v>
      </c>
      <c r="I370" s="9">
        <v>1</v>
      </c>
      <c r="J370" s="10" t="s">
        <v>13</v>
      </c>
      <c r="K370" s="10" t="s">
        <v>24</v>
      </c>
      <c r="L370" s="10">
        <v>10</v>
      </c>
      <c r="M370" s="10" t="s">
        <v>17</v>
      </c>
      <c r="N370" s="18" t="s">
        <v>422</v>
      </c>
      <c r="O370" t="b">
        <f t="shared" si="25"/>
        <v>1</v>
      </c>
      <c r="R370">
        <v>365</v>
      </c>
      <c r="S370" s="41">
        <v>1</v>
      </c>
      <c r="T370" s="41">
        <v>1</v>
      </c>
      <c r="U370" s="41">
        <v>13</v>
      </c>
      <c r="V370" s="41">
        <v>10</v>
      </c>
      <c r="W370" s="41">
        <v>1</v>
      </c>
      <c r="X370" s="16" t="s">
        <v>422</v>
      </c>
      <c r="Y370" s="17" t="s">
        <v>153</v>
      </c>
      <c r="Z370" s="17">
        <v>77</v>
      </c>
    </row>
    <row r="371" spans="2:26" ht="15.75" x14ac:dyDescent="0.25">
      <c r="B371" t="s">
        <v>775</v>
      </c>
      <c r="C371" t="str">
        <f t="shared" si="22"/>
        <v>1.1.13.10.2</v>
      </c>
      <c r="D371" t="str">
        <f t="shared" si="23"/>
        <v>Berubah</v>
      </c>
      <c r="E371" t="str">
        <f t="shared" si="24"/>
        <v>1.3.1.01.03.10.002</v>
      </c>
      <c r="F371">
        <v>366</v>
      </c>
      <c r="G371" s="9">
        <v>1</v>
      </c>
      <c r="H371" s="9">
        <v>3</v>
      </c>
      <c r="I371" s="9">
        <v>1</v>
      </c>
      <c r="J371" s="10" t="s">
        <v>13</v>
      </c>
      <c r="K371" s="10" t="s">
        <v>24</v>
      </c>
      <c r="L371" s="10">
        <v>10</v>
      </c>
      <c r="M371" s="10" t="s">
        <v>19</v>
      </c>
      <c r="N371" s="18" t="s">
        <v>423</v>
      </c>
      <c r="O371" t="b">
        <f t="shared" si="25"/>
        <v>1</v>
      </c>
      <c r="R371">
        <v>366</v>
      </c>
      <c r="S371" s="41">
        <v>1</v>
      </c>
      <c r="T371" s="41">
        <v>1</v>
      </c>
      <c r="U371" s="41">
        <v>13</v>
      </c>
      <c r="V371" s="41">
        <v>10</v>
      </c>
      <c r="W371" s="41">
        <v>2</v>
      </c>
      <c r="X371" s="16" t="s">
        <v>423</v>
      </c>
      <c r="Y371" s="17" t="s">
        <v>153</v>
      </c>
      <c r="Z371" s="17">
        <v>78</v>
      </c>
    </row>
    <row r="372" spans="2:26" ht="15.75" x14ac:dyDescent="0.25">
      <c r="B372" t="s">
        <v>776</v>
      </c>
      <c r="C372" t="str">
        <f t="shared" si="22"/>
        <v>1.1.13.10.3</v>
      </c>
      <c r="D372" t="str">
        <f t="shared" si="23"/>
        <v>Berubah</v>
      </c>
      <c r="E372" t="str">
        <f t="shared" si="24"/>
        <v>1.3.1.01.03.10.003</v>
      </c>
      <c r="F372">
        <v>367</v>
      </c>
      <c r="G372" s="9">
        <v>1</v>
      </c>
      <c r="H372" s="9">
        <v>3</v>
      </c>
      <c r="I372" s="9">
        <v>1</v>
      </c>
      <c r="J372" s="10" t="s">
        <v>13</v>
      </c>
      <c r="K372" s="10" t="s">
        <v>24</v>
      </c>
      <c r="L372" s="10">
        <v>10</v>
      </c>
      <c r="M372" s="10" t="s">
        <v>22</v>
      </c>
      <c r="N372" s="18" t="s">
        <v>424</v>
      </c>
      <c r="O372" t="b">
        <f t="shared" si="25"/>
        <v>1</v>
      </c>
      <c r="R372">
        <v>367</v>
      </c>
      <c r="S372" s="41">
        <v>1</v>
      </c>
      <c r="T372" s="41">
        <v>1</v>
      </c>
      <c r="U372" s="41">
        <v>13</v>
      </c>
      <c r="V372" s="41">
        <v>10</v>
      </c>
      <c r="W372" s="41">
        <v>3</v>
      </c>
      <c r="X372" s="16" t="s">
        <v>424</v>
      </c>
      <c r="Y372" s="17" t="s">
        <v>153</v>
      </c>
      <c r="Z372" s="17">
        <v>79</v>
      </c>
    </row>
    <row r="373" spans="2:26" ht="15.75" x14ac:dyDescent="0.25">
      <c r="B373" t="s">
        <v>777</v>
      </c>
      <c r="C373" t="str">
        <f t="shared" si="22"/>
        <v>1.1.13.10.4</v>
      </c>
      <c r="D373" t="str">
        <f t="shared" si="23"/>
        <v>Berubah</v>
      </c>
      <c r="E373" t="str">
        <f t="shared" si="24"/>
        <v>1.3.1.01.03.10.004</v>
      </c>
      <c r="F373">
        <v>368</v>
      </c>
      <c r="G373" s="9">
        <v>1</v>
      </c>
      <c r="H373" s="9">
        <v>3</v>
      </c>
      <c r="I373" s="9">
        <v>1</v>
      </c>
      <c r="J373" s="10" t="s">
        <v>13</v>
      </c>
      <c r="K373" s="10" t="s">
        <v>24</v>
      </c>
      <c r="L373" s="10">
        <v>10</v>
      </c>
      <c r="M373" s="10" t="s">
        <v>25</v>
      </c>
      <c r="N373" s="18" t="s">
        <v>425</v>
      </c>
      <c r="O373" t="b">
        <f t="shared" si="25"/>
        <v>1</v>
      </c>
      <c r="R373">
        <v>368</v>
      </c>
      <c r="S373" s="41">
        <v>1</v>
      </c>
      <c r="T373" s="41">
        <v>1</v>
      </c>
      <c r="U373" s="41">
        <v>13</v>
      </c>
      <c r="V373" s="41">
        <v>10</v>
      </c>
      <c r="W373" s="41">
        <v>4</v>
      </c>
      <c r="X373" s="16" t="s">
        <v>425</v>
      </c>
      <c r="Y373" s="17" t="s">
        <v>153</v>
      </c>
      <c r="Z373" s="17">
        <v>80</v>
      </c>
    </row>
    <row r="374" spans="2:26" s="1" customFormat="1" ht="15.75" x14ac:dyDescent="0.25">
      <c r="B374" t="s">
        <v>778</v>
      </c>
      <c r="C374" t="str">
        <f t="shared" si="22"/>
        <v>1.1.13.10.5</v>
      </c>
      <c r="D374" t="str">
        <f t="shared" si="23"/>
        <v>Berubah</v>
      </c>
      <c r="E374" t="str">
        <f t="shared" si="24"/>
        <v>1.3.1.01.03.10.005</v>
      </c>
      <c r="F374" s="1">
        <v>369</v>
      </c>
      <c r="G374" s="19">
        <v>1</v>
      </c>
      <c r="H374" s="19">
        <v>3</v>
      </c>
      <c r="I374" s="19">
        <v>1</v>
      </c>
      <c r="J374" s="20" t="s">
        <v>13</v>
      </c>
      <c r="K374" s="20" t="s">
        <v>24</v>
      </c>
      <c r="L374" s="20">
        <v>10</v>
      </c>
      <c r="M374" s="20" t="s">
        <v>28</v>
      </c>
      <c r="N374" s="21" t="s">
        <v>50</v>
      </c>
      <c r="O374" s="1" t="b">
        <f t="shared" si="25"/>
        <v>0</v>
      </c>
      <c r="R374" s="1">
        <v>369</v>
      </c>
      <c r="S374" s="42">
        <v>1</v>
      </c>
      <c r="T374" s="42">
        <v>1</v>
      </c>
      <c r="U374" s="42">
        <v>13</v>
      </c>
      <c r="V374" s="42">
        <v>10</v>
      </c>
      <c r="W374" s="42">
        <v>5</v>
      </c>
      <c r="X374" s="22" t="s">
        <v>48</v>
      </c>
      <c r="Y374" s="23" t="s">
        <v>153</v>
      </c>
      <c r="Z374" s="23">
        <v>81</v>
      </c>
    </row>
    <row r="375" spans="2:26" ht="15.75" x14ac:dyDescent="0.25">
      <c r="B375" t="s">
        <v>779</v>
      </c>
      <c r="C375" t="str">
        <f t="shared" si="22"/>
        <v>1.1.13.11.0</v>
      </c>
      <c r="D375" t="str">
        <f t="shared" si="23"/>
        <v>Berubah</v>
      </c>
      <c r="E375" t="str">
        <f t="shared" si="24"/>
        <v>1.3.1.01.03.11.</v>
      </c>
      <c r="F375">
        <v>370</v>
      </c>
      <c r="G375" s="9">
        <v>1</v>
      </c>
      <c r="H375" s="9">
        <v>3</v>
      </c>
      <c r="I375" s="9">
        <v>1</v>
      </c>
      <c r="J375" s="10" t="s">
        <v>13</v>
      </c>
      <c r="K375" s="10" t="s">
        <v>24</v>
      </c>
      <c r="L375" s="10">
        <v>11</v>
      </c>
      <c r="M375" s="10"/>
      <c r="N375" s="18" t="s">
        <v>426</v>
      </c>
      <c r="O375" t="b">
        <f t="shared" si="25"/>
        <v>1</v>
      </c>
      <c r="R375">
        <v>370</v>
      </c>
      <c r="S375" s="41">
        <v>1</v>
      </c>
      <c r="T375" s="41">
        <v>1</v>
      </c>
      <c r="U375" s="41">
        <v>13</v>
      </c>
      <c r="V375" s="41">
        <v>11</v>
      </c>
      <c r="W375" s="41">
        <v>0</v>
      </c>
      <c r="X375" s="16" t="s">
        <v>426</v>
      </c>
      <c r="Y375" s="17" t="s">
        <v>153</v>
      </c>
      <c r="Z375" s="17">
        <v>82</v>
      </c>
    </row>
    <row r="376" spans="2:26" ht="15.75" x14ac:dyDescent="0.25">
      <c r="B376" t="s">
        <v>780</v>
      </c>
      <c r="C376" t="str">
        <f t="shared" si="22"/>
        <v>1.1.13.11.1</v>
      </c>
      <c r="D376" t="str">
        <f t="shared" si="23"/>
        <v>Berubah</v>
      </c>
      <c r="E376" t="str">
        <f t="shared" si="24"/>
        <v>1.3.1.01.03.11.001</v>
      </c>
      <c r="F376">
        <v>371</v>
      </c>
      <c r="G376" s="9">
        <v>1</v>
      </c>
      <c r="H376" s="9">
        <v>3</v>
      </c>
      <c r="I376" s="9">
        <v>1</v>
      </c>
      <c r="J376" s="10" t="s">
        <v>13</v>
      </c>
      <c r="K376" s="10" t="s">
        <v>24</v>
      </c>
      <c r="L376" s="10">
        <v>11</v>
      </c>
      <c r="M376" s="10" t="s">
        <v>17</v>
      </c>
      <c r="N376" s="18" t="s">
        <v>427</v>
      </c>
      <c r="O376" t="b">
        <f t="shared" si="25"/>
        <v>1</v>
      </c>
      <c r="R376">
        <v>371</v>
      </c>
      <c r="S376" s="41">
        <v>1</v>
      </c>
      <c r="T376" s="41">
        <v>1</v>
      </c>
      <c r="U376" s="41">
        <v>13</v>
      </c>
      <c r="V376" s="41">
        <v>11</v>
      </c>
      <c r="W376" s="41">
        <v>1</v>
      </c>
      <c r="X376" s="16" t="s">
        <v>427</v>
      </c>
      <c r="Y376" s="17" t="s">
        <v>153</v>
      </c>
      <c r="Z376" s="17">
        <v>83</v>
      </c>
    </row>
    <row r="377" spans="2:26" ht="15.75" x14ac:dyDescent="0.25">
      <c r="B377" t="s">
        <v>781</v>
      </c>
      <c r="C377" t="str">
        <f t="shared" si="22"/>
        <v>1.1.13.11.2</v>
      </c>
      <c r="D377" t="str">
        <f t="shared" si="23"/>
        <v>Berubah</v>
      </c>
      <c r="E377" t="str">
        <f t="shared" si="24"/>
        <v>1.3.1.01.03.11.002</v>
      </c>
      <c r="F377">
        <v>372</v>
      </c>
      <c r="G377" s="9">
        <v>1</v>
      </c>
      <c r="H377" s="9">
        <v>3</v>
      </c>
      <c r="I377" s="9">
        <v>1</v>
      </c>
      <c r="J377" s="10" t="s">
        <v>13</v>
      </c>
      <c r="K377" s="10" t="s">
        <v>24</v>
      </c>
      <c r="L377" s="10">
        <v>11</v>
      </c>
      <c r="M377" s="10" t="s">
        <v>19</v>
      </c>
      <c r="N377" s="18" t="s">
        <v>428</v>
      </c>
      <c r="O377" t="b">
        <f t="shared" si="25"/>
        <v>1</v>
      </c>
      <c r="R377">
        <v>372</v>
      </c>
      <c r="S377" s="41">
        <v>1</v>
      </c>
      <c r="T377" s="41">
        <v>1</v>
      </c>
      <c r="U377" s="41">
        <v>13</v>
      </c>
      <c r="V377" s="41">
        <v>11</v>
      </c>
      <c r="W377" s="41">
        <v>2</v>
      </c>
      <c r="X377" s="16" t="s">
        <v>428</v>
      </c>
      <c r="Y377" s="17" t="s">
        <v>153</v>
      </c>
      <c r="Z377" s="17">
        <v>84</v>
      </c>
    </row>
    <row r="378" spans="2:26" ht="15.75" x14ac:dyDescent="0.25">
      <c r="B378" t="s">
        <v>782</v>
      </c>
      <c r="C378" t="str">
        <f t="shared" si="22"/>
        <v>1.1.13.11.3</v>
      </c>
      <c r="D378" t="str">
        <f t="shared" si="23"/>
        <v>Berubah</v>
      </c>
      <c r="E378" t="str">
        <f t="shared" si="24"/>
        <v>1.3.1.01.03.11.003</v>
      </c>
      <c r="F378">
        <v>373</v>
      </c>
      <c r="G378" s="9">
        <v>1</v>
      </c>
      <c r="H378" s="9">
        <v>3</v>
      </c>
      <c r="I378" s="9">
        <v>1</v>
      </c>
      <c r="J378" s="10" t="s">
        <v>13</v>
      </c>
      <c r="K378" s="10" t="s">
        <v>24</v>
      </c>
      <c r="L378" s="10">
        <v>11</v>
      </c>
      <c r="M378" s="10" t="s">
        <v>22</v>
      </c>
      <c r="N378" s="18" t="s">
        <v>429</v>
      </c>
      <c r="O378" t="b">
        <f t="shared" si="25"/>
        <v>1</v>
      </c>
      <c r="R378">
        <v>373</v>
      </c>
      <c r="S378" s="41">
        <v>1</v>
      </c>
      <c r="T378" s="41">
        <v>1</v>
      </c>
      <c r="U378" s="41">
        <v>13</v>
      </c>
      <c r="V378" s="41">
        <v>11</v>
      </c>
      <c r="W378" s="41">
        <v>3</v>
      </c>
      <c r="X378" s="16" t="s">
        <v>429</v>
      </c>
      <c r="Y378" s="17" t="s">
        <v>153</v>
      </c>
      <c r="Z378" s="17">
        <v>85</v>
      </c>
    </row>
    <row r="379" spans="2:26" ht="15.75" x14ac:dyDescent="0.25">
      <c r="B379" t="s">
        <v>783</v>
      </c>
      <c r="C379" t="str">
        <f t="shared" si="22"/>
        <v>1.1.13.11.4</v>
      </c>
      <c r="D379" t="str">
        <f t="shared" si="23"/>
        <v>Berubah</v>
      </c>
      <c r="E379" t="str">
        <f t="shared" si="24"/>
        <v>1.3.1.01.03.11.004</v>
      </c>
      <c r="F379">
        <v>374</v>
      </c>
      <c r="G379" s="9">
        <v>1</v>
      </c>
      <c r="H379" s="9">
        <v>3</v>
      </c>
      <c r="I379" s="9">
        <v>1</v>
      </c>
      <c r="J379" s="10" t="s">
        <v>13</v>
      </c>
      <c r="K379" s="10" t="s">
        <v>24</v>
      </c>
      <c r="L379" s="10">
        <v>11</v>
      </c>
      <c r="M379" s="10" t="s">
        <v>25</v>
      </c>
      <c r="N379" s="18" t="s">
        <v>430</v>
      </c>
      <c r="O379" t="b">
        <f t="shared" si="25"/>
        <v>1</v>
      </c>
      <c r="R379">
        <v>374</v>
      </c>
      <c r="S379" s="41">
        <v>1</v>
      </c>
      <c r="T379" s="41">
        <v>1</v>
      </c>
      <c r="U379" s="41">
        <v>13</v>
      </c>
      <c r="V379" s="41">
        <v>11</v>
      </c>
      <c r="W379" s="41">
        <v>4</v>
      </c>
      <c r="X379" s="16" t="s">
        <v>430</v>
      </c>
      <c r="Y379" s="17" t="s">
        <v>153</v>
      </c>
      <c r="Z379" s="17">
        <v>86</v>
      </c>
    </row>
    <row r="380" spans="2:26" ht="15.75" x14ac:dyDescent="0.25">
      <c r="B380" t="s">
        <v>784</v>
      </c>
      <c r="C380" t="str">
        <f t="shared" si="22"/>
        <v>1.1.13.11.5</v>
      </c>
      <c r="D380" t="str">
        <f t="shared" si="23"/>
        <v>Berubah</v>
      </c>
      <c r="E380" t="str">
        <f t="shared" si="24"/>
        <v>1.3.1.01.03.11.005</v>
      </c>
      <c r="F380">
        <v>375</v>
      </c>
      <c r="G380" s="9">
        <v>1</v>
      </c>
      <c r="H380" s="9">
        <v>3</v>
      </c>
      <c r="I380" s="9">
        <v>1</v>
      </c>
      <c r="J380" s="10" t="s">
        <v>13</v>
      </c>
      <c r="K380" s="10" t="s">
        <v>24</v>
      </c>
      <c r="L380" s="10">
        <v>11</v>
      </c>
      <c r="M380" s="10" t="s">
        <v>28</v>
      </c>
      <c r="N380" s="18" t="s">
        <v>431</v>
      </c>
      <c r="O380" t="b">
        <f t="shared" si="25"/>
        <v>1</v>
      </c>
      <c r="R380">
        <v>375</v>
      </c>
      <c r="S380" s="41">
        <v>1</v>
      </c>
      <c r="T380" s="41">
        <v>1</v>
      </c>
      <c r="U380" s="41">
        <v>13</v>
      </c>
      <c r="V380" s="41">
        <v>11</v>
      </c>
      <c r="W380" s="41">
        <v>5</v>
      </c>
      <c r="X380" s="16" t="s">
        <v>431</v>
      </c>
      <c r="Y380" s="17" t="s">
        <v>153</v>
      </c>
      <c r="Z380" s="17">
        <v>87</v>
      </c>
    </row>
    <row r="381" spans="2:26" ht="15.75" x14ac:dyDescent="0.25">
      <c r="B381" t="s">
        <v>785</v>
      </c>
      <c r="C381" t="str">
        <f t="shared" si="22"/>
        <v>1.1.13.11.6</v>
      </c>
      <c r="D381" t="str">
        <f t="shared" si="23"/>
        <v>Berubah</v>
      </c>
      <c r="E381" t="str">
        <f t="shared" si="24"/>
        <v>1.3.1.01.03.11.006</v>
      </c>
      <c r="F381" s="1">
        <v>376</v>
      </c>
      <c r="G381" s="19">
        <v>1</v>
      </c>
      <c r="H381" s="19">
        <v>3</v>
      </c>
      <c r="I381" s="19">
        <v>1</v>
      </c>
      <c r="J381" s="20" t="s">
        <v>13</v>
      </c>
      <c r="K381" s="20" t="s">
        <v>24</v>
      </c>
      <c r="L381" s="20">
        <v>11</v>
      </c>
      <c r="M381" s="20" t="s">
        <v>31</v>
      </c>
      <c r="N381" s="21" t="s">
        <v>432</v>
      </c>
      <c r="O381" s="1" t="b">
        <f t="shared" si="25"/>
        <v>0</v>
      </c>
      <c r="P381" s="1"/>
      <c r="Q381" s="1"/>
      <c r="R381" s="1">
        <v>376</v>
      </c>
      <c r="S381" s="42">
        <v>1</v>
      </c>
      <c r="T381" s="42">
        <v>1</v>
      </c>
      <c r="U381" s="42">
        <v>13</v>
      </c>
      <c r="V381" s="42">
        <v>11</v>
      </c>
      <c r="W381" s="42">
        <v>6</v>
      </c>
      <c r="X381" s="22" t="s">
        <v>433</v>
      </c>
      <c r="Y381" s="23" t="s">
        <v>153</v>
      </c>
      <c r="Z381" s="23">
        <v>88</v>
      </c>
    </row>
    <row r="382" spans="2:26" s="1" customFormat="1" ht="15.75" x14ac:dyDescent="0.25">
      <c r="B382" t="s">
        <v>786</v>
      </c>
      <c r="C382" t="str">
        <f t="shared" si="22"/>
        <v>1.1.13.11.7</v>
      </c>
      <c r="D382" t="str">
        <f t="shared" si="23"/>
        <v>Berubah</v>
      </c>
      <c r="E382" t="str">
        <f t="shared" si="24"/>
        <v>1.3.1.01.03.11.007</v>
      </c>
      <c r="F382" s="1">
        <v>377</v>
      </c>
      <c r="G382" s="19">
        <v>1</v>
      </c>
      <c r="H382" s="19">
        <v>3</v>
      </c>
      <c r="I382" s="19">
        <v>1</v>
      </c>
      <c r="J382" s="20" t="s">
        <v>13</v>
      </c>
      <c r="K382" s="20" t="s">
        <v>24</v>
      </c>
      <c r="L382" s="20">
        <v>11</v>
      </c>
      <c r="M382" s="20" t="s">
        <v>34</v>
      </c>
      <c r="N382" s="21" t="s">
        <v>50</v>
      </c>
      <c r="O382" s="1" t="b">
        <f t="shared" si="25"/>
        <v>0</v>
      </c>
      <c r="R382" s="1">
        <v>377</v>
      </c>
      <c r="S382" s="42">
        <v>1</v>
      </c>
      <c r="T382" s="42">
        <v>1</v>
      </c>
      <c r="U382" s="42">
        <v>13</v>
      </c>
      <c r="V382" s="42">
        <v>11</v>
      </c>
      <c r="W382" s="42">
        <v>7</v>
      </c>
      <c r="X382" s="22" t="s">
        <v>48</v>
      </c>
      <c r="Y382" s="23" t="s">
        <v>153</v>
      </c>
      <c r="Z382" s="23">
        <v>89</v>
      </c>
    </row>
    <row r="383" spans="2:26" ht="15.75" x14ac:dyDescent="0.25">
      <c r="B383" t="s">
        <v>787</v>
      </c>
      <c r="C383" t="str">
        <f t="shared" si="22"/>
        <v>1.1.1.3.0</v>
      </c>
      <c r="D383" t="str">
        <f t="shared" si="23"/>
        <v>Berubah</v>
      </c>
      <c r="E383" t="str">
        <f t="shared" si="24"/>
        <v>1.3.1.01.03.12.</v>
      </c>
      <c r="F383" s="1">
        <v>378</v>
      </c>
      <c r="G383" s="19">
        <v>1</v>
      </c>
      <c r="H383" s="19">
        <v>3</v>
      </c>
      <c r="I383" s="19">
        <v>1</v>
      </c>
      <c r="J383" s="20" t="s">
        <v>13</v>
      </c>
      <c r="K383" s="20" t="s">
        <v>24</v>
      </c>
      <c r="L383" s="20">
        <v>12</v>
      </c>
      <c r="M383" s="20"/>
      <c r="N383" s="21" t="s">
        <v>434</v>
      </c>
      <c r="O383" s="1" t="b">
        <f t="shared" si="25"/>
        <v>0</v>
      </c>
      <c r="P383" s="1"/>
      <c r="Q383" s="1"/>
      <c r="R383" s="1">
        <v>378</v>
      </c>
      <c r="S383" s="42">
        <v>1</v>
      </c>
      <c r="T383" s="42">
        <v>1</v>
      </c>
      <c r="U383" s="42">
        <v>1</v>
      </c>
      <c r="V383" s="42">
        <v>3</v>
      </c>
      <c r="W383" s="42">
        <v>0</v>
      </c>
      <c r="X383" s="22" t="s">
        <v>435</v>
      </c>
      <c r="Y383" s="23" t="s">
        <v>436</v>
      </c>
      <c r="Z383" s="23">
        <v>9</v>
      </c>
    </row>
    <row r="384" spans="2:26" ht="15.75" x14ac:dyDescent="0.25">
      <c r="B384" t="s">
        <v>788</v>
      </c>
      <c r="C384" t="str">
        <f t="shared" si="22"/>
        <v>1.1.1.3.6</v>
      </c>
      <c r="D384" t="str">
        <f t="shared" si="23"/>
        <v>Berubah</v>
      </c>
      <c r="E384" t="str">
        <f t="shared" si="24"/>
        <v>1.3.1.01.03.12.001</v>
      </c>
      <c r="F384" s="1">
        <v>379</v>
      </c>
      <c r="G384" s="19">
        <v>1</v>
      </c>
      <c r="H384" s="19">
        <v>3</v>
      </c>
      <c r="I384" s="19">
        <v>1</v>
      </c>
      <c r="J384" s="20" t="s">
        <v>13</v>
      </c>
      <c r="K384" s="20" t="s">
        <v>24</v>
      </c>
      <c r="L384" s="20">
        <v>12</v>
      </c>
      <c r="M384" s="20" t="s">
        <v>17</v>
      </c>
      <c r="N384" s="21" t="s">
        <v>437</v>
      </c>
      <c r="O384" s="1" t="b">
        <f t="shared" si="25"/>
        <v>0</v>
      </c>
      <c r="P384" s="1"/>
      <c r="Q384" s="1"/>
      <c r="R384" s="1">
        <v>379</v>
      </c>
      <c r="S384" s="42">
        <v>1</v>
      </c>
      <c r="T384" s="42">
        <v>1</v>
      </c>
      <c r="U384" s="42">
        <v>1</v>
      </c>
      <c r="V384" s="42">
        <v>3</v>
      </c>
      <c r="W384" s="42">
        <v>6</v>
      </c>
      <c r="X384" s="22" t="s">
        <v>438</v>
      </c>
      <c r="Y384" s="23" t="s">
        <v>436</v>
      </c>
      <c r="Z384" s="23">
        <v>10</v>
      </c>
    </row>
    <row r="385" spans="2:26" ht="15.75" x14ac:dyDescent="0.25">
      <c r="B385" t="s">
        <v>789</v>
      </c>
      <c r="C385" t="str">
        <f t="shared" si="22"/>
        <v>1.1.1.3.1</v>
      </c>
      <c r="D385" t="str">
        <f t="shared" si="23"/>
        <v>Berubah</v>
      </c>
      <c r="E385" t="str">
        <f t="shared" si="24"/>
        <v>1.3.1.01.03.12.002</v>
      </c>
      <c r="F385" s="1">
        <v>380</v>
      </c>
      <c r="G385" s="19">
        <v>1</v>
      </c>
      <c r="H385" s="19">
        <v>3</v>
      </c>
      <c r="I385" s="19">
        <v>1</v>
      </c>
      <c r="J385" s="20" t="s">
        <v>13</v>
      </c>
      <c r="K385" s="20" t="s">
        <v>24</v>
      </c>
      <c r="L385" s="20">
        <v>12</v>
      </c>
      <c r="M385" s="20" t="s">
        <v>19</v>
      </c>
      <c r="N385" s="21" t="s">
        <v>439</v>
      </c>
      <c r="O385" s="1" t="b">
        <f t="shared" si="25"/>
        <v>0</v>
      </c>
      <c r="P385" s="1"/>
      <c r="Q385" s="1"/>
      <c r="R385" s="1">
        <v>380</v>
      </c>
      <c r="S385" s="42">
        <v>1</v>
      </c>
      <c r="T385" s="42">
        <v>1</v>
      </c>
      <c r="U385" s="42">
        <v>1</v>
      </c>
      <c r="V385" s="42">
        <v>3</v>
      </c>
      <c r="W385" s="42">
        <v>1</v>
      </c>
      <c r="X385" s="22" t="s">
        <v>440</v>
      </c>
      <c r="Y385" s="23" t="s">
        <v>436</v>
      </c>
      <c r="Z385" s="23">
        <v>11</v>
      </c>
    </row>
    <row r="386" spans="2:26" ht="15.75" x14ac:dyDescent="0.25">
      <c r="B386" t="s">
        <v>790</v>
      </c>
      <c r="C386" t="str">
        <f t="shared" si="22"/>
        <v>1.1.1.3.2</v>
      </c>
      <c r="D386" t="str">
        <f t="shared" si="23"/>
        <v>Berubah</v>
      </c>
      <c r="E386" t="str">
        <f t="shared" si="24"/>
        <v>1.3.1.01.03.12.003</v>
      </c>
      <c r="F386" s="1">
        <v>381</v>
      </c>
      <c r="G386" s="19">
        <v>1</v>
      </c>
      <c r="H386" s="19">
        <v>3</v>
      </c>
      <c r="I386" s="19">
        <v>1</v>
      </c>
      <c r="J386" s="20" t="s">
        <v>13</v>
      </c>
      <c r="K386" s="20" t="s">
        <v>24</v>
      </c>
      <c r="L386" s="20">
        <v>12</v>
      </c>
      <c r="M386" s="20" t="s">
        <v>22</v>
      </c>
      <c r="N386" s="21" t="s">
        <v>441</v>
      </c>
      <c r="O386" s="1" t="b">
        <f t="shared" si="25"/>
        <v>0</v>
      </c>
      <c r="P386" s="1"/>
      <c r="Q386" s="1"/>
      <c r="R386" s="1">
        <v>381</v>
      </c>
      <c r="S386" s="42">
        <v>1</v>
      </c>
      <c r="T386" s="42">
        <v>1</v>
      </c>
      <c r="U386" s="42">
        <v>1</v>
      </c>
      <c r="V386" s="42">
        <v>3</v>
      </c>
      <c r="W386" s="42">
        <v>2</v>
      </c>
      <c r="X386" s="22" t="s">
        <v>442</v>
      </c>
      <c r="Y386" s="23" t="s">
        <v>436</v>
      </c>
      <c r="Z386" s="23">
        <v>12</v>
      </c>
    </row>
    <row r="387" spans="2:26" ht="15.75" x14ac:dyDescent="0.25">
      <c r="B387" t="s">
        <v>791</v>
      </c>
      <c r="C387" t="str">
        <f t="shared" si="22"/>
        <v>1.1.1.3.3</v>
      </c>
      <c r="D387" t="str">
        <f t="shared" si="23"/>
        <v>Berubah</v>
      </c>
      <c r="E387" t="str">
        <f t="shared" si="24"/>
        <v>1.3.1.01.03.12.004</v>
      </c>
      <c r="F387" s="1">
        <v>382</v>
      </c>
      <c r="G387" s="19">
        <v>1</v>
      </c>
      <c r="H387" s="19">
        <v>3</v>
      </c>
      <c r="I387" s="19">
        <v>1</v>
      </c>
      <c r="J387" s="20" t="s">
        <v>13</v>
      </c>
      <c r="K387" s="20" t="s">
        <v>24</v>
      </c>
      <c r="L387" s="20">
        <v>12</v>
      </c>
      <c r="M387" s="20" t="s">
        <v>25</v>
      </c>
      <c r="N387" s="21" t="s">
        <v>443</v>
      </c>
      <c r="O387" s="1" t="b">
        <f t="shared" si="25"/>
        <v>0</v>
      </c>
      <c r="P387" s="1"/>
      <c r="Q387" s="1"/>
      <c r="R387" s="1">
        <v>382</v>
      </c>
      <c r="S387" s="42">
        <v>1</v>
      </c>
      <c r="T387" s="42">
        <v>1</v>
      </c>
      <c r="U387" s="42">
        <v>1</v>
      </c>
      <c r="V387" s="42">
        <v>3</v>
      </c>
      <c r="W387" s="42">
        <v>3</v>
      </c>
      <c r="X387" s="22" t="s">
        <v>444</v>
      </c>
      <c r="Y387" s="23" t="s">
        <v>436</v>
      </c>
      <c r="Z387" s="23">
        <v>13</v>
      </c>
    </row>
    <row r="388" spans="2:26" ht="15.75" x14ac:dyDescent="0.25">
      <c r="B388" t="s">
        <v>792</v>
      </c>
      <c r="C388" t="str">
        <f t="shared" si="22"/>
        <v>1.1.1.3.4</v>
      </c>
      <c r="D388" t="str">
        <f t="shared" si="23"/>
        <v>Keluar</v>
      </c>
      <c r="E388" t="str">
        <f t="shared" si="24"/>
        <v>......</v>
      </c>
      <c r="F388" s="1">
        <v>383</v>
      </c>
      <c r="G388" s="19"/>
      <c r="H388" s="19"/>
      <c r="I388" s="19"/>
      <c r="J388" s="20"/>
      <c r="K388" s="20"/>
      <c r="L388" s="20"/>
      <c r="M388" s="20"/>
      <c r="N388" s="21"/>
      <c r="O388" s="1" t="b">
        <f t="shared" si="25"/>
        <v>0</v>
      </c>
      <c r="P388" s="1"/>
      <c r="Q388" s="1"/>
      <c r="R388" s="1">
        <v>383</v>
      </c>
      <c r="S388" s="42">
        <v>1</v>
      </c>
      <c r="T388" s="42">
        <v>1</v>
      </c>
      <c r="U388" s="42">
        <v>1</v>
      </c>
      <c r="V388" s="42">
        <v>3</v>
      </c>
      <c r="W388" s="42">
        <v>4</v>
      </c>
      <c r="X388" s="22" t="s">
        <v>445</v>
      </c>
      <c r="Y388" s="23" t="s">
        <v>436</v>
      </c>
      <c r="Z388" s="23">
        <v>14</v>
      </c>
    </row>
    <row r="389" spans="2:26" ht="15.75" x14ac:dyDescent="0.25">
      <c r="B389" t="s">
        <v>793</v>
      </c>
      <c r="C389" t="str">
        <f t="shared" si="22"/>
        <v>1.1.1.3.5</v>
      </c>
      <c r="D389" t="str">
        <f t="shared" si="23"/>
        <v>Keluar</v>
      </c>
      <c r="E389" t="str">
        <f t="shared" si="24"/>
        <v>......</v>
      </c>
      <c r="F389" s="1">
        <v>384</v>
      </c>
      <c r="G389" s="19"/>
      <c r="H389" s="19"/>
      <c r="I389" s="19"/>
      <c r="J389" s="20"/>
      <c r="K389" s="20"/>
      <c r="L389" s="20"/>
      <c r="M389" s="20"/>
      <c r="N389" s="21"/>
      <c r="O389" s="1" t="b">
        <f t="shared" si="25"/>
        <v>0</v>
      </c>
      <c r="P389" s="1"/>
      <c r="Q389" s="1"/>
      <c r="R389" s="1">
        <v>384</v>
      </c>
      <c r="S389" s="42">
        <v>1</v>
      </c>
      <c r="T389" s="42">
        <v>1</v>
      </c>
      <c r="U389" s="42">
        <v>1</v>
      </c>
      <c r="V389" s="42">
        <v>3</v>
      </c>
      <c r="W389" s="42">
        <v>5</v>
      </c>
      <c r="X389" s="22" t="s">
        <v>446</v>
      </c>
      <c r="Y389" s="23" t="s">
        <v>436</v>
      </c>
      <c r="Z389" s="23">
        <v>15</v>
      </c>
    </row>
    <row r="390" spans="2:26" ht="15.75" x14ac:dyDescent="0.25">
      <c r="B390" t="s">
        <v>794</v>
      </c>
      <c r="C390" t="str">
        <f t="shared" si="22"/>
        <v>1.1.1.3.8</v>
      </c>
      <c r="D390" t="str">
        <f t="shared" si="23"/>
        <v>Berubah</v>
      </c>
      <c r="E390" t="str">
        <f t="shared" si="24"/>
        <v>1.3.1.01.03.12.005</v>
      </c>
      <c r="F390" s="1">
        <v>385</v>
      </c>
      <c r="G390" s="19">
        <v>1</v>
      </c>
      <c r="H390" s="19">
        <v>3</v>
      </c>
      <c r="I390" s="19">
        <v>1</v>
      </c>
      <c r="J390" s="20" t="s">
        <v>13</v>
      </c>
      <c r="K390" s="20" t="s">
        <v>24</v>
      </c>
      <c r="L390" s="20">
        <v>12</v>
      </c>
      <c r="M390" s="20" t="s">
        <v>28</v>
      </c>
      <c r="N390" s="21" t="s">
        <v>447</v>
      </c>
      <c r="O390" s="1" t="b">
        <f t="shared" si="25"/>
        <v>0</v>
      </c>
      <c r="P390" s="1"/>
      <c r="Q390" s="1"/>
      <c r="R390" s="1">
        <v>385</v>
      </c>
      <c r="S390" s="42">
        <v>1</v>
      </c>
      <c r="T390" s="42">
        <v>1</v>
      </c>
      <c r="U390" s="42">
        <v>1</v>
      </c>
      <c r="V390" s="42">
        <v>3</v>
      </c>
      <c r="W390" s="42">
        <v>8</v>
      </c>
      <c r="X390" s="22" t="s">
        <v>448</v>
      </c>
      <c r="Y390" s="23" t="s">
        <v>436</v>
      </c>
      <c r="Z390" s="23">
        <v>16</v>
      </c>
    </row>
    <row r="391" spans="2:26" ht="15.75" x14ac:dyDescent="0.25">
      <c r="B391" t="s">
        <v>795</v>
      </c>
      <c r="C391" t="str">
        <f t="shared" ref="C391:C415" si="26">S391&amp;"."&amp;T391&amp;"."&amp;U391&amp;"."&amp;V391&amp;"."&amp;W391</f>
        <v>1.1.1.3.7</v>
      </c>
      <c r="D391" t="str">
        <f t="shared" ref="D391:D415" si="27">IF(S391&lt;&gt;"",IF(G391="","Keluar","Berubah"),"Bertambah")</f>
        <v>Berubah</v>
      </c>
      <c r="E391" t="str">
        <f t="shared" ref="E391:E415" si="28">G391&amp;"."&amp;H391&amp;"."&amp;I391&amp;"."&amp;J391&amp;"."&amp;K391&amp;"."&amp;L391&amp;"."&amp;M391</f>
        <v>1.3.1.01.03.12.006</v>
      </c>
      <c r="F391" s="1">
        <v>386</v>
      </c>
      <c r="G391" s="19">
        <v>1</v>
      </c>
      <c r="H391" s="19">
        <v>3</v>
      </c>
      <c r="I391" s="19">
        <v>1</v>
      </c>
      <c r="J391" s="20" t="s">
        <v>13</v>
      </c>
      <c r="K391" s="20" t="s">
        <v>24</v>
      </c>
      <c r="L391" s="20">
        <v>12</v>
      </c>
      <c r="M391" s="20" t="s">
        <v>31</v>
      </c>
      <c r="N391" s="21" t="s">
        <v>449</v>
      </c>
      <c r="O391" s="1" t="b">
        <f t="shared" si="25"/>
        <v>0</v>
      </c>
      <c r="P391" s="1"/>
      <c r="Q391" s="1"/>
      <c r="R391" s="1">
        <v>386</v>
      </c>
      <c r="S391" s="42">
        <v>1</v>
      </c>
      <c r="T391" s="42">
        <v>1</v>
      </c>
      <c r="U391" s="42">
        <v>1</v>
      </c>
      <c r="V391" s="42">
        <v>3</v>
      </c>
      <c r="W391" s="42">
        <v>7</v>
      </c>
      <c r="X391" s="22" t="s">
        <v>450</v>
      </c>
      <c r="Y391" s="23" t="s">
        <v>436</v>
      </c>
      <c r="Z391" s="23">
        <v>17</v>
      </c>
    </row>
    <row r="392" spans="2:26" s="1" customFormat="1" ht="15.75" x14ac:dyDescent="0.25">
      <c r="B392" t="s">
        <v>796</v>
      </c>
      <c r="C392" t="str">
        <f t="shared" si="26"/>
        <v>1.1.1.3.9</v>
      </c>
      <c r="D392" t="str">
        <f t="shared" si="27"/>
        <v>Berubah</v>
      </c>
      <c r="E392" t="str">
        <f t="shared" si="28"/>
        <v>1.3.1.01.03.12.007</v>
      </c>
      <c r="F392" s="1">
        <v>387</v>
      </c>
      <c r="G392" s="19">
        <v>1</v>
      </c>
      <c r="H392" s="19">
        <v>3</v>
      </c>
      <c r="I392" s="19">
        <v>1</v>
      </c>
      <c r="J392" s="20" t="s">
        <v>13</v>
      </c>
      <c r="K392" s="20" t="s">
        <v>24</v>
      </c>
      <c r="L392" s="20">
        <v>12</v>
      </c>
      <c r="M392" s="20" t="s">
        <v>34</v>
      </c>
      <c r="N392" s="21" t="s">
        <v>50</v>
      </c>
      <c r="O392" s="1" t="b">
        <f t="shared" si="25"/>
        <v>0</v>
      </c>
      <c r="R392" s="1">
        <v>387</v>
      </c>
      <c r="S392" s="42">
        <v>1</v>
      </c>
      <c r="T392" s="42">
        <v>1</v>
      </c>
      <c r="U392" s="42">
        <v>1</v>
      </c>
      <c r="V392" s="42">
        <v>3</v>
      </c>
      <c r="W392" s="42">
        <v>9</v>
      </c>
      <c r="X392" s="22" t="s">
        <v>48</v>
      </c>
      <c r="Y392" s="23" t="s">
        <v>436</v>
      </c>
      <c r="Z392" s="23">
        <v>18</v>
      </c>
    </row>
    <row r="393" spans="2:26" x14ac:dyDescent="0.25">
      <c r="B393" t="s">
        <v>469</v>
      </c>
      <c r="C393" t="str">
        <f t="shared" si="26"/>
        <v>....</v>
      </c>
      <c r="D393" t="str">
        <f t="shared" si="27"/>
        <v>Bertambah</v>
      </c>
      <c r="E393" t="str">
        <f t="shared" si="28"/>
        <v>1.3.1.01.03.13.</v>
      </c>
      <c r="F393" s="14">
        <v>388</v>
      </c>
      <c r="G393" s="24">
        <v>1</v>
      </c>
      <c r="H393" s="24">
        <v>3</v>
      </c>
      <c r="I393" s="24">
        <v>1</v>
      </c>
      <c r="J393" s="25" t="s">
        <v>13</v>
      </c>
      <c r="K393" s="25" t="s">
        <v>24</v>
      </c>
      <c r="L393" s="25">
        <v>13</v>
      </c>
      <c r="M393" s="25"/>
      <c r="N393" s="26" t="s">
        <v>451</v>
      </c>
      <c r="O393" s="14" t="b">
        <f t="shared" ref="O393:O415" si="29">N393=X393</f>
        <v>0</v>
      </c>
      <c r="P393" s="14"/>
      <c r="Q393" s="14"/>
      <c r="R393" s="14">
        <v>388</v>
      </c>
      <c r="S393" s="28"/>
      <c r="T393" s="28"/>
      <c r="U393" s="28"/>
      <c r="V393" s="28"/>
      <c r="W393" s="28"/>
      <c r="X393" s="28"/>
      <c r="Y393" s="28"/>
      <c r="Z393" s="28"/>
    </row>
    <row r="394" spans="2:26" x14ac:dyDescent="0.25">
      <c r="B394" t="s">
        <v>469</v>
      </c>
      <c r="C394" t="str">
        <f t="shared" si="26"/>
        <v>....</v>
      </c>
      <c r="D394" t="str">
        <f t="shared" si="27"/>
        <v>Bertambah</v>
      </c>
      <c r="E394" t="str">
        <f t="shared" si="28"/>
        <v>1.3.1.01.03.13.001</v>
      </c>
      <c r="F394" s="14">
        <v>389</v>
      </c>
      <c r="G394" s="24">
        <v>1</v>
      </c>
      <c r="H394" s="24">
        <v>3</v>
      </c>
      <c r="I394" s="24">
        <v>1</v>
      </c>
      <c r="J394" s="25" t="s">
        <v>13</v>
      </c>
      <c r="K394" s="25" t="s">
        <v>24</v>
      </c>
      <c r="L394" s="25">
        <v>13</v>
      </c>
      <c r="M394" s="25" t="s">
        <v>17</v>
      </c>
      <c r="N394" s="26" t="s">
        <v>452</v>
      </c>
      <c r="O394" s="14" t="b">
        <f t="shared" si="29"/>
        <v>0</v>
      </c>
      <c r="P394" s="14"/>
      <c r="Q394" s="14"/>
      <c r="R394" s="14">
        <v>389</v>
      </c>
      <c r="S394" s="28"/>
      <c r="T394" s="28"/>
      <c r="U394" s="28"/>
      <c r="V394" s="28"/>
      <c r="W394" s="28"/>
      <c r="X394" s="28"/>
      <c r="Y394" s="28"/>
      <c r="Z394" s="28"/>
    </row>
    <row r="395" spans="2:26" x14ac:dyDescent="0.25">
      <c r="B395" t="s">
        <v>469</v>
      </c>
      <c r="C395" t="str">
        <f t="shared" si="26"/>
        <v>....</v>
      </c>
      <c r="D395" t="str">
        <f t="shared" si="27"/>
        <v>Bertambah</v>
      </c>
      <c r="E395" t="str">
        <f t="shared" si="28"/>
        <v>1.3.1.01.03.13.002</v>
      </c>
      <c r="F395" s="14">
        <v>390</v>
      </c>
      <c r="G395" s="24">
        <v>1</v>
      </c>
      <c r="H395" s="24">
        <v>3</v>
      </c>
      <c r="I395" s="24">
        <v>1</v>
      </c>
      <c r="J395" s="25" t="s">
        <v>13</v>
      </c>
      <c r="K395" s="25" t="s">
        <v>24</v>
      </c>
      <c r="L395" s="25">
        <v>13</v>
      </c>
      <c r="M395" s="25" t="s">
        <v>19</v>
      </c>
      <c r="N395" s="26" t="s">
        <v>453</v>
      </c>
      <c r="O395" s="14" t="b">
        <f t="shared" si="29"/>
        <v>0</v>
      </c>
      <c r="P395" s="14"/>
      <c r="Q395" s="14"/>
      <c r="R395" s="14">
        <v>390</v>
      </c>
      <c r="S395" s="28"/>
      <c r="T395" s="28"/>
      <c r="U395" s="28"/>
      <c r="V395" s="28"/>
      <c r="W395" s="28"/>
      <c r="X395" s="28"/>
      <c r="Y395" s="28"/>
      <c r="Z395" s="28"/>
    </row>
    <row r="396" spans="2:26" s="1" customFormat="1" x14ac:dyDescent="0.25">
      <c r="B396" t="s">
        <v>469</v>
      </c>
      <c r="C396" t="str">
        <f t="shared" si="26"/>
        <v>....</v>
      </c>
      <c r="D396" t="str">
        <f t="shared" si="27"/>
        <v>Bertambah</v>
      </c>
      <c r="E396" t="str">
        <f t="shared" si="28"/>
        <v>1.3.1.01.03.13.003</v>
      </c>
      <c r="F396" s="1">
        <v>391</v>
      </c>
      <c r="G396" s="19">
        <v>1</v>
      </c>
      <c r="H396" s="19">
        <v>3</v>
      </c>
      <c r="I396" s="19">
        <v>1</v>
      </c>
      <c r="J396" s="20" t="s">
        <v>13</v>
      </c>
      <c r="K396" s="20" t="s">
        <v>24</v>
      </c>
      <c r="L396" s="20">
        <v>13</v>
      </c>
      <c r="M396" s="20" t="s">
        <v>22</v>
      </c>
      <c r="N396" s="21" t="s">
        <v>50</v>
      </c>
      <c r="O396" s="1" t="b">
        <f t="shared" si="29"/>
        <v>0</v>
      </c>
      <c r="R396" s="1">
        <v>391</v>
      </c>
      <c r="S396" s="34"/>
      <c r="T396" s="34"/>
      <c r="U396" s="34"/>
      <c r="V396" s="34"/>
      <c r="W396" s="34"/>
      <c r="X396" s="34"/>
      <c r="Y396" s="34"/>
      <c r="Z396" s="34"/>
    </row>
    <row r="397" spans="2:26" x14ac:dyDescent="0.25">
      <c r="B397" t="s">
        <v>469</v>
      </c>
      <c r="C397" t="str">
        <f t="shared" si="26"/>
        <v>....</v>
      </c>
      <c r="D397" t="str">
        <f t="shared" si="27"/>
        <v>Bertambah</v>
      </c>
      <c r="E397" t="str">
        <f t="shared" si="28"/>
        <v>1.3.1.01.03.14.</v>
      </c>
      <c r="F397" s="14">
        <v>392</v>
      </c>
      <c r="G397" s="24">
        <v>1</v>
      </c>
      <c r="H397" s="24">
        <v>3</v>
      </c>
      <c r="I397" s="24">
        <v>1</v>
      </c>
      <c r="J397" s="25" t="s">
        <v>13</v>
      </c>
      <c r="K397" s="25" t="s">
        <v>24</v>
      </c>
      <c r="L397" s="25">
        <v>14</v>
      </c>
      <c r="M397" s="25"/>
      <c r="N397" s="26" t="s">
        <v>454</v>
      </c>
      <c r="O397" s="14" t="b">
        <f t="shared" si="29"/>
        <v>0</v>
      </c>
      <c r="P397" s="14"/>
      <c r="Q397" s="14"/>
      <c r="R397" s="14">
        <v>392</v>
      </c>
      <c r="S397" s="28"/>
      <c r="T397" s="28"/>
      <c r="U397" s="28"/>
      <c r="V397" s="28"/>
      <c r="W397" s="28"/>
      <c r="X397" s="28"/>
      <c r="Y397" s="28"/>
      <c r="Z397" s="28"/>
    </row>
    <row r="398" spans="2:26" x14ac:dyDescent="0.25">
      <c r="B398" t="s">
        <v>469</v>
      </c>
      <c r="C398" t="str">
        <f t="shared" si="26"/>
        <v>....</v>
      </c>
      <c r="D398" t="str">
        <f t="shared" si="27"/>
        <v>Bertambah</v>
      </c>
      <c r="E398" t="str">
        <f t="shared" si="28"/>
        <v>1.3.1.01.03.14.001</v>
      </c>
      <c r="F398" s="14">
        <v>393</v>
      </c>
      <c r="G398" s="24">
        <v>1</v>
      </c>
      <c r="H398" s="24">
        <v>3</v>
      </c>
      <c r="I398" s="24">
        <v>1</v>
      </c>
      <c r="J398" s="25" t="s">
        <v>13</v>
      </c>
      <c r="K398" s="25" t="s">
        <v>24</v>
      </c>
      <c r="L398" s="25">
        <v>14</v>
      </c>
      <c r="M398" s="25" t="s">
        <v>17</v>
      </c>
      <c r="N398" s="26" t="s">
        <v>455</v>
      </c>
      <c r="O398" s="14" t="b">
        <f t="shared" si="29"/>
        <v>0</v>
      </c>
      <c r="P398" s="14"/>
      <c r="Q398" s="14"/>
      <c r="R398" s="14">
        <v>393</v>
      </c>
      <c r="S398" s="28"/>
      <c r="T398" s="28"/>
      <c r="U398" s="28"/>
      <c r="V398" s="28"/>
      <c r="W398" s="28"/>
      <c r="X398" s="28"/>
      <c r="Y398" s="28"/>
      <c r="Z398" s="28"/>
    </row>
    <row r="399" spans="2:26" s="1" customFormat="1" x14ac:dyDescent="0.25">
      <c r="B399" t="s">
        <v>469</v>
      </c>
      <c r="C399" t="str">
        <f t="shared" si="26"/>
        <v>....</v>
      </c>
      <c r="D399" t="str">
        <f t="shared" si="27"/>
        <v>Bertambah</v>
      </c>
      <c r="E399" t="str">
        <f t="shared" si="28"/>
        <v>1.3.1.01.03.14.002</v>
      </c>
      <c r="F399" s="1">
        <v>394</v>
      </c>
      <c r="G399" s="19">
        <v>1</v>
      </c>
      <c r="H399" s="19">
        <v>3</v>
      </c>
      <c r="I399" s="19">
        <v>1</v>
      </c>
      <c r="J399" s="20" t="s">
        <v>13</v>
      </c>
      <c r="K399" s="20" t="s">
        <v>24</v>
      </c>
      <c r="L399" s="20">
        <v>14</v>
      </c>
      <c r="M399" s="20" t="s">
        <v>19</v>
      </c>
      <c r="N399" s="21" t="s">
        <v>50</v>
      </c>
      <c r="O399" s="1" t="b">
        <f t="shared" si="29"/>
        <v>0</v>
      </c>
      <c r="R399" s="1">
        <v>394</v>
      </c>
      <c r="S399" s="34"/>
      <c r="T399" s="34"/>
      <c r="U399" s="34"/>
      <c r="V399" s="34"/>
      <c r="W399" s="34"/>
      <c r="X399" s="34"/>
      <c r="Y399" s="34"/>
      <c r="Z399" s="34"/>
    </row>
    <row r="400" spans="2:26" x14ac:dyDescent="0.25">
      <c r="B400" t="s">
        <v>469</v>
      </c>
      <c r="C400" t="str">
        <f t="shared" si="26"/>
        <v>....</v>
      </c>
      <c r="D400" t="str">
        <f t="shared" si="27"/>
        <v>Bertambah</v>
      </c>
      <c r="E400" t="str">
        <f t="shared" si="28"/>
        <v>1.3.1.01.03.15.</v>
      </c>
      <c r="F400" s="14">
        <v>395</v>
      </c>
      <c r="G400" s="24">
        <v>1</v>
      </c>
      <c r="H400" s="24">
        <v>3</v>
      </c>
      <c r="I400" s="24">
        <v>1</v>
      </c>
      <c r="J400" s="25" t="s">
        <v>13</v>
      </c>
      <c r="K400" s="25" t="s">
        <v>24</v>
      </c>
      <c r="L400" s="25">
        <v>15</v>
      </c>
      <c r="M400" s="25"/>
      <c r="N400" s="26" t="s">
        <v>456</v>
      </c>
      <c r="O400" s="14" t="b">
        <f t="shared" si="29"/>
        <v>0</v>
      </c>
      <c r="P400" s="14"/>
      <c r="Q400" s="14"/>
      <c r="R400" s="14">
        <v>395</v>
      </c>
      <c r="S400" s="28"/>
      <c r="T400" s="28"/>
      <c r="U400" s="28"/>
      <c r="V400" s="28"/>
      <c r="W400" s="28"/>
      <c r="X400" s="28"/>
      <c r="Y400" s="28"/>
      <c r="Z400" s="28"/>
    </row>
    <row r="401" spans="2:26" x14ac:dyDescent="0.25">
      <c r="B401" t="s">
        <v>469</v>
      </c>
      <c r="C401" t="str">
        <f t="shared" si="26"/>
        <v>....</v>
      </c>
      <c r="D401" t="str">
        <f t="shared" si="27"/>
        <v>Bertambah</v>
      </c>
      <c r="E401" t="str">
        <f t="shared" si="28"/>
        <v>1.3.1.01.03.15.001</v>
      </c>
      <c r="F401" s="14">
        <v>396</v>
      </c>
      <c r="G401" s="24">
        <v>1</v>
      </c>
      <c r="H401" s="24">
        <v>3</v>
      </c>
      <c r="I401" s="24">
        <v>1</v>
      </c>
      <c r="J401" s="25" t="s">
        <v>13</v>
      </c>
      <c r="K401" s="25" t="s">
        <v>24</v>
      </c>
      <c r="L401" s="25">
        <v>15</v>
      </c>
      <c r="M401" s="25" t="s">
        <v>17</v>
      </c>
      <c r="N401" s="26" t="s">
        <v>457</v>
      </c>
      <c r="O401" s="14" t="b">
        <f t="shared" si="29"/>
        <v>0</v>
      </c>
      <c r="P401" s="14"/>
      <c r="Q401" s="14"/>
      <c r="R401" s="14">
        <v>396</v>
      </c>
      <c r="S401" s="28"/>
      <c r="T401" s="28"/>
      <c r="U401" s="28"/>
      <c r="V401" s="28"/>
      <c r="W401" s="28"/>
      <c r="X401" s="28"/>
      <c r="Y401" s="28"/>
      <c r="Z401" s="28"/>
    </row>
    <row r="402" spans="2:26" x14ac:dyDescent="0.25">
      <c r="B402" t="s">
        <v>469</v>
      </c>
      <c r="C402" t="str">
        <f t="shared" si="26"/>
        <v>....</v>
      </c>
      <c r="D402" t="str">
        <f t="shared" si="27"/>
        <v>Bertambah</v>
      </c>
      <c r="E402" t="str">
        <f t="shared" si="28"/>
        <v>1.3.1.01.03.15.002</v>
      </c>
      <c r="F402" s="14">
        <v>397</v>
      </c>
      <c r="G402" s="24">
        <v>1</v>
      </c>
      <c r="H402" s="24">
        <v>3</v>
      </c>
      <c r="I402" s="24">
        <v>1</v>
      </c>
      <c r="J402" s="25" t="s">
        <v>13</v>
      </c>
      <c r="K402" s="25" t="s">
        <v>24</v>
      </c>
      <c r="L402" s="25">
        <v>15</v>
      </c>
      <c r="M402" s="25" t="s">
        <v>19</v>
      </c>
      <c r="N402" s="26" t="s">
        <v>458</v>
      </c>
      <c r="O402" s="14" t="b">
        <f t="shared" si="29"/>
        <v>0</v>
      </c>
      <c r="P402" s="14"/>
      <c r="Q402" s="14"/>
      <c r="R402" s="14">
        <v>397</v>
      </c>
      <c r="S402" s="28"/>
      <c r="T402" s="28"/>
      <c r="U402" s="28"/>
      <c r="V402" s="28"/>
      <c r="W402" s="28"/>
      <c r="X402" s="28"/>
      <c r="Y402" s="28"/>
      <c r="Z402" s="28"/>
    </row>
    <row r="403" spans="2:26" x14ac:dyDescent="0.25">
      <c r="B403" t="s">
        <v>469</v>
      </c>
      <c r="C403" t="str">
        <f t="shared" si="26"/>
        <v>....</v>
      </c>
      <c r="D403" t="str">
        <f t="shared" si="27"/>
        <v>Bertambah</v>
      </c>
      <c r="E403" t="str">
        <f t="shared" si="28"/>
        <v>1.3.1.01.03.15.003</v>
      </c>
      <c r="F403" s="14">
        <v>398</v>
      </c>
      <c r="G403" s="24">
        <v>1</v>
      </c>
      <c r="H403" s="24">
        <v>3</v>
      </c>
      <c r="I403" s="24">
        <v>1</v>
      </c>
      <c r="J403" s="25" t="s">
        <v>13</v>
      </c>
      <c r="K403" s="25" t="s">
        <v>24</v>
      </c>
      <c r="L403" s="25">
        <v>15</v>
      </c>
      <c r="M403" s="25" t="s">
        <v>22</v>
      </c>
      <c r="N403" s="26" t="s">
        <v>459</v>
      </c>
      <c r="O403" s="14" t="b">
        <f t="shared" si="29"/>
        <v>0</v>
      </c>
      <c r="P403" s="14"/>
      <c r="Q403" s="14"/>
      <c r="R403" s="14">
        <v>398</v>
      </c>
      <c r="S403" s="28"/>
      <c r="T403" s="28"/>
      <c r="U403" s="28"/>
      <c r="V403" s="28"/>
      <c r="W403" s="28"/>
      <c r="X403" s="28"/>
      <c r="Y403" s="28"/>
      <c r="Z403" s="28"/>
    </row>
    <row r="404" spans="2:26" s="1" customFormat="1" x14ac:dyDescent="0.25">
      <c r="B404" t="s">
        <v>469</v>
      </c>
      <c r="C404" t="str">
        <f t="shared" si="26"/>
        <v>....</v>
      </c>
      <c r="D404" t="str">
        <f t="shared" si="27"/>
        <v>Bertambah</v>
      </c>
      <c r="E404" t="str">
        <f t="shared" si="28"/>
        <v>1.3.1.01.03.15.004</v>
      </c>
      <c r="F404" s="1">
        <v>399</v>
      </c>
      <c r="G404" s="19">
        <v>1</v>
      </c>
      <c r="H404" s="19">
        <v>3</v>
      </c>
      <c r="I404" s="19">
        <v>1</v>
      </c>
      <c r="J404" s="20" t="s">
        <v>13</v>
      </c>
      <c r="K404" s="20" t="s">
        <v>24</v>
      </c>
      <c r="L404" s="20">
        <v>15</v>
      </c>
      <c r="M404" s="20" t="s">
        <v>25</v>
      </c>
      <c r="N404" s="21" t="s">
        <v>50</v>
      </c>
      <c r="O404" s="1" t="b">
        <f t="shared" si="29"/>
        <v>0</v>
      </c>
      <c r="R404" s="1">
        <v>399</v>
      </c>
      <c r="S404" s="34"/>
      <c r="T404" s="34"/>
      <c r="U404" s="34"/>
      <c r="V404" s="34"/>
      <c r="W404" s="34"/>
      <c r="X404" s="34"/>
      <c r="Y404" s="34"/>
      <c r="Z404" s="34"/>
    </row>
    <row r="405" spans="2:26" x14ac:dyDescent="0.25">
      <c r="B405" t="s">
        <v>469</v>
      </c>
      <c r="C405" t="str">
        <f t="shared" si="26"/>
        <v>....</v>
      </c>
      <c r="D405" t="str">
        <f t="shared" si="27"/>
        <v>Bertambah</v>
      </c>
      <c r="E405" t="str">
        <f t="shared" si="28"/>
        <v>1.3.1.01.03.16.</v>
      </c>
      <c r="F405" s="14">
        <v>400</v>
      </c>
      <c r="G405" s="24">
        <v>1</v>
      </c>
      <c r="H405" s="24">
        <v>3</v>
      </c>
      <c r="I405" s="24">
        <v>1</v>
      </c>
      <c r="J405" s="25" t="s">
        <v>13</v>
      </c>
      <c r="K405" s="25" t="s">
        <v>24</v>
      </c>
      <c r="L405" s="25">
        <v>16</v>
      </c>
      <c r="M405" s="25"/>
      <c r="N405" s="26" t="s">
        <v>460</v>
      </c>
      <c r="O405" s="14" t="b">
        <f t="shared" si="29"/>
        <v>0</v>
      </c>
      <c r="P405" s="14"/>
      <c r="Q405" s="14"/>
      <c r="R405" s="14">
        <v>400</v>
      </c>
      <c r="S405" s="28"/>
      <c r="T405" s="28"/>
      <c r="U405" s="28"/>
      <c r="V405" s="28"/>
      <c r="W405" s="28"/>
      <c r="X405" s="28"/>
      <c r="Y405" s="28"/>
      <c r="Z405" s="28"/>
    </row>
    <row r="406" spans="2:26" x14ac:dyDescent="0.25">
      <c r="B406" t="s">
        <v>469</v>
      </c>
      <c r="C406" t="str">
        <f t="shared" si="26"/>
        <v>....</v>
      </c>
      <c r="D406" t="str">
        <f t="shared" si="27"/>
        <v>Bertambah</v>
      </c>
      <c r="E406" t="str">
        <f t="shared" si="28"/>
        <v>1.3.1.01.03.16.001</v>
      </c>
      <c r="F406" s="14">
        <v>401</v>
      </c>
      <c r="G406" s="24">
        <v>1</v>
      </c>
      <c r="H406" s="24">
        <v>3</v>
      </c>
      <c r="I406" s="24">
        <v>1</v>
      </c>
      <c r="J406" s="25" t="s">
        <v>13</v>
      </c>
      <c r="K406" s="25" t="s">
        <v>24</v>
      </c>
      <c r="L406" s="25">
        <v>16</v>
      </c>
      <c r="M406" s="25" t="s">
        <v>17</v>
      </c>
      <c r="N406" s="26" t="s">
        <v>461</v>
      </c>
      <c r="O406" s="14" t="b">
        <f t="shared" si="29"/>
        <v>0</v>
      </c>
      <c r="P406" s="14"/>
      <c r="Q406" s="14"/>
      <c r="R406" s="14">
        <v>401</v>
      </c>
      <c r="S406" s="28"/>
      <c r="T406" s="28"/>
      <c r="U406" s="28"/>
      <c r="V406" s="28"/>
      <c r="W406" s="28"/>
      <c r="X406" s="28"/>
      <c r="Y406" s="28"/>
      <c r="Z406" s="28"/>
    </row>
    <row r="407" spans="2:26" s="1" customFormat="1" x14ac:dyDescent="0.25">
      <c r="B407" t="s">
        <v>469</v>
      </c>
      <c r="C407" t="str">
        <f t="shared" si="26"/>
        <v>....</v>
      </c>
      <c r="D407" t="str">
        <f t="shared" si="27"/>
        <v>Bertambah</v>
      </c>
      <c r="E407" t="str">
        <f t="shared" si="28"/>
        <v>1.3.1.01.03.16.002</v>
      </c>
      <c r="F407" s="1">
        <v>402</v>
      </c>
      <c r="G407" s="19">
        <v>1</v>
      </c>
      <c r="H407" s="19">
        <v>3</v>
      </c>
      <c r="I407" s="19">
        <v>1</v>
      </c>
      <c r="J407" s="20" t="s">
        <v>13</v>
      </c>
      <c r="K407" s="20" t="s">
        <v>24</v>
      </c>
      <c r="L407" s="20">
        <v>16</v>
      </c>
      <c r="M407" s="20" t="s">
        <v>19</v>
      </c>
      <c r="N407" s="21" t="s">
        <v>50</v>
      </c>
      <c r="O407" s="1" t="b">
        <f t="shared" si="29"/>
        <v>0</v>
      </c>
      <c r="R407" s="1">
        <v>402</v>
      </c>
      <c r="S407" s="34"/>
      <c r="T407" s="34"/>
      <c r="U407" s="34"/>
      <c r="V407" s="34"/>
      <c r="W407" s="34"/>
      <c r="X407" s="34"/>
      <c r="Y407" s="34"/>
      <c r="Z407" s="34"/>
    </row>
    <row r="408" spans="2:26" ht="15.75" x14ac:dyDescent="0.25">
      <c r="B408" t="s">
        <v>797</v>
      </c>
      <c r="C408" t="str">
        <f t="shared" si="26"/>
        <v>1.1.1.1.0</v>
      </c>
      <c r="D408" t="str">
        <f t="shared" si="27"/>
        <v>Berubah</v>
      </c>
      <c r="E408" t="str">
        <f t="shared" si="28"/>
        <v>1.3.1.01.03.17.</v>
      </c>
      <c r="F408" s="1">
        <v>403</v>
      </c>
      <c r="G408" s="19">
        <v>1</v>
      </c>
      <c r="H408" s="19">
        <v>3</v>
      </c>
      <c r="I408" s="19">
        <v>1</v>
      </c>
      <c r="J408" s="20" t="s">
        <v>13</v>
      </c>
      <c r="K408" s="20" t="s">
        <v>24</v>
      </c>
      <c r="L408" s="20">
        <v>17</v>
      </c>
      <c r="M408" s="20"/>
      <c r="N408" s="21" t="s">
        <v>462</v>
      </c>
      <c r="O408" s="1" t="b">
        <f t="shared" si="29"/>
        <v>0</v>
      </c>
      <c r="P408" s="1"/>
      <c r="Q408" s="1"/>
      <c r="R408" s="1">
        <v>403</v>
      </c>
      <c r="S408" s="42">
        <v>1</v>
      </c>
      <c r="T408" s="42">
        <v>1</v>
      </c>
      <c r="U408" s="42">
        <v>1</v>
      </c>
      <c r="V408" s="42">
        <v>1</v>
      </c>
      <c r="W408" s="42">
        <v>0</v>
      </c>
      <c r="X408" s="22" t="s">
        <v>463</v>
      </c>
      <c r="Y408" s="23" t="s">
        <v>436</v>
      </c>
      <c r="Z408" s="23">
        <v>3</v>
      </c>
    </row>
    <row r="409" spans="2:26" ht="15.75" x14ac:dyDescent="0.25">
      <c r="B409" t="s">
        <v>798</v>
      </c>
      <c r="C409" t="str">
        <f t="shared" si="26"/>
        <v>1.1.1.1.1</v>
      </c>
      <c r="D409" t="str">
        <f t="shared" si="27"/>
        <v>Berubah</v>
      </c>
      <c r="E409" t="str">
        <f t="shared" si="28"/>
        <v>1.3.1.01.03.17.001</v>
      </c>
      <c r="F409" s="1">
        <v>404</v>
      </c>
      <c r="G409" s="19">
        <v>1</v>
      </c>
      <c r="H409" s="19">
        <v>3</v>
      </c>
      <c r="I409" s="19">
        <v>1</v>
      </c>
      <c r="J409" s="20" t="s">
        <v>13</v>
      </c>
      <c r="K409" s="20" t="s">
        <v>24</v>
      </c>
      <c r="L409" s="20">
        <v>17</v>
      </c>
      <c r="M409" s="20" t="s">
        <v>17</v>
      </c>
      <c r="N409" s="21" t="s">
        <v>464</v>
      </c>
      <c r="O409" s="1" t="b">
        <f t="shared" si="29"/>
        <v>0</v>
      </c>
      <c r="P409" s="1"/>
      <c r="Q409" s="1"/>
      <c r="R409" s="1">
        <v>404</v>
      </c>
      <c r="S409" s="42">
        <v>1</v>
      </c>
      <c r="T409" s="42">
        <v>1</v>
      </c>
      <c r="U409" s="42">
        <v>1</v>
      </c>
      <c r="V409" s="42">
        <v>1</v>
      </c>
      <c r="W409" s="42">
        <v>1</v>
      </c>
      <c r="X409" s="22" t="s">
        <v>463</v>
      </c>
      <c r="Y409" s="23" t="s">
        <v>436</v>
      </c>
      <c r="Z409" s="23">
        <v>4</v>
      </c>
    </row>
    <row r="410" spans="2:26" s="1" customFormat="1" ht="15.75" x14ac:dyDescent="0.25">
      <c r="B410" t="s">
        <v>799</v>
      </c>
      <c r="C410" t="str">
        <f t="shared" si="26"/>
        <v>1.1.1.1.2</v>
      </c>
      <c r="D410" t="str">
        <f t="shared" si="27"/>
        <v>Berubah</v>
      </c>
      <c r="E410" t="str">
        <f t="shared" si="28"/>
        <v>1.3.1.01.03.17.002</v>
      </c>
      <c r="F410" s="1">
        <v>405</v>
      </c>
      <c r="G410" s="19">
        <v>1</v>
      </c>
      <c r="H410" s="19">
        <v>3</v>
      </c>
      <c r="I410" s="19">
        <v>1</v>
      </c>
      <c r="J410" s="20" t="s">
        <v>13</v>
      </c>
      <c r="K410" s="20" t="s">
        <v>24</v>
      </c>
      <c r="L410" s="20">
        <v>17</v>
      </c>
      <c r="M410" s="20" t="s">
        <v>19</v>
      </c>
      <c r="N410" s="21" t="s">
        <v>50</v>
      </c>
      <c r="O410" s="1" t="b">
        <f t="shared" si="29"/>
        <v>0</v>
      </c>
      <c r="R410" s="1">
        <v>405</v>
      </c>
      <c r="S410" s="42">
        <v>1</v>
      </c>
      <c r="T410" s="42">
        <v>1</v>
      </c>
      <c r="U410" s="42">
        <v>1</v>
      </c>
      <c r="V410" s="42">
        <v>1</v>
      </c>
      <c r="W410" s="42">
        <v>2</v>
      </c>
      <c r="X410" s="22" t="s">
        <v>48</v>
      </c>
      <c r="Y410" s="23" t="s">
        <v>436</v>
      </c>
      <c r="Z410" s="23">
        <v>5</v>
      </c>
    </row>
    <row r="411" spans="2:26" ht="15.75" x14ac:dyDescent="0.25">
      <c r="B411" t="s">
        <v>800</v>
      </c>
      <c r="C411" t="str">
        <f t="shared" si="26"/>
        <v>1.1.1.2.0</v>
      </c>
      <c r="D411" t="str">
        <f t="shared" si="27"/>
        <v>Berubah</v>
      </c>
      <c r="E411" t="str">
        <f t="shared" si="28"/>
        <v>1.3.1.01.03.18.</v>
      </c>
      <c r="F411" s="1">
        <v>406</v>
      </c>
      <c r="G411" s="19">
        <v>1</v>
      </c>
      <c r="H411" s="19">
        <v>3</v>
      </c>
      <c r="I411" s="19">
        <v>1</v>
      </c>
      <c r="J411" s="20" t="s">
        <v>13</v>
      </c>
      <c r="K411" s="20" t="s">
        <v>24</v>
      </c>
      <c r="L411" s="20">
        <v>18</v>
      </c>
      <c r="M411" s="20"/>
      <c r="N411" s="21" t="s">
        <v>465</v>
      </c>
      <c r="O411" s="1" t="b">
        <f t="shared" si="29"/>
        <v>0</v>
      </c>
      <c r="P411" s="1"/>
      <c r="Q411" s="1"/>
      <c r="R411" s="1">
        <v>406</v>
      </c>
      <c r="S411" s="42">
        <v>1</v>
      </c>
      <c r="T411" s="42">
        <v>1</v>
      </c>
      <c r="U411" s="42">
        <v>1</v>
      </c>
      <c r="V411" s="42">
        <v>2</v>
      </c>
      <c r="W411" s="42">
        <v>0</v>
      </c>
      <c r="X411" s="22" t="s">
        <v>466</v>
      </c>
      <c r="Y411" s="23" t="s">
        <v>436</v>
      </c>
      <c r="Z411" s="23">
        <v>6</v>
      </c>
    </row>
    <row r="412" spans="2:26" ht="15.75" x14ac:dyDescent="0.25">
      <c r="B412" t="s">
        <v>801</v>
      </c>
      <c r="C412" t="str">
        <f t="shared" si="26"/>
        <v>1.1.1.2.1</v>
      </c>
      <c r="D412" t="str">
        <f t="shared" si="27"/>
        <v>Berubah</v>
      </c>
      <c r="E412" t="str">
        <f t="shared" si="28"/>
        <v>1.3.1.01.03.18.001</v>
      </c>
      <c r="F412" s="1">
        <v>407</v>
      </c>
      <c r="G412" s="19">
        <v>1</v>
      </c>
      <c r="H412" s="19">
        <v>3</v>
      </c>
      <c r="I412" s="19">
        <v>1</v>
      </c>
      <c r="J412" s="20" t="s">
        <v>13</v>
      </c>
      <c r="K412" s="20" t="s">
        <v>24</v>
      </c>
      <c r="L412" s="20">
        <v>18</v>
      </c>
      <c r="M412" s="20" t="s">
        <v>17</v>
      </c>
      <c r="N412" s="21" t="s">
        <v>467</v>
      </c>
      <c r="O412" s="1" t="b">
        <f t="shared" si="29"/>
        <v>0</v>
      </c>
      <c r="P412" s="1"/>
      <c r="Q412" s="1"/>
      <c r="R412" s="1">
        <v>407</v>
      </c>
      <c r="S412" s="42">
        <v>1</v>
      </c>
      <c r="T412" s="42">
        <v>1</v>
      </c>
      <c r="U412" s="42">
        <v>1</v>
      </c>
      <c r="V412" s="42">
        <v>2</v>
      </c>
      <c r="W412" s="42">
        <v>1</v>
      </c>
      <c r="X412" s="22" t="s">
        <v>466</v>
      </c>
      <c r="Y412" s="23" t="s">
        <v>436</v>
      </c>
      <c r="Z412" s="23">
        <v>7</v>
      </c>
    </row>
    <row r="413" spans="2:26" s="1" customFormat="1" ht="15.75" x14ac:dyDescent="0.25">
      <c r="B413" t="s">
        <v>802</v>
      </c>
      <c r="C413" t="str">
        <f t="shared" si="26"/>
        <v>1.1.1.2.2</v>
      </c>
      <c r="D413" t="str">
        <f t="shared" si="27"/>
        <v>Berubah</v>
      </c>
      <c r="E413" t="str">
        <f t="shared" si="28"/>
        <v>1.3.1.01.03.18.002</v>
      </c>
      <c r="F413" s="1">
        <v>408</v>
      </c>
      <c r="G413" s="19">
        <v>1</v>
      </c>
      <c r="H413" s="19">
        <v>3</v>
      </c>
      <c r="I413" s="19">
        <v>1</v>
      </c>
      <c r="J413" s="20" t="s">
        <v>13</v>
      </c>
      <c r="K413" s="20" t="s">
        <v>24</v>
      </c>
      <c r="L413" s="20">
        <v>18</v>
      </c>
      <c r="M413" s="20" t="s">
        <v>19</v>
      </c>
      <c r="N413" s="21" t="s">
        <v>50</v>
      </c>
      <c r="O413" s="1" t="b">
        <f t="shared" si="29"/>
        <v>0</v>
      </c>
      <c r="R413" s="1">
        <v>408</v>
      </c>
      <c r="S413" s="42">
        <v>1</v>
      </c>
      <c r="T413" s="42">
        <v>1</v>
      </c>
      <c r="U413" s="42">
        <v>1</v>
      </c>
      <c r="V413" s="42">
        <v>2</v>
      </c>
      <c r="W413" s="42">
        <v>2</v>
      </c>
      <c r="X413" s="22" t="s">
        <v>48</v>
      </c>
      <c r="Y413" s="23" t="s">
        <v>436</v>
      </c>
      <c r="Z413" s="23">
        <v>8</v>
      </c>
    </row>
    <row r="414" spans="2:26" x14ac:dyDescent="0.25">
      <c r="B414" t="s">
        <v>469</v>
      </c>
      <c r="C414" t="str">
        <f t="shared" si="26"/>
        <v>....</v>
      </c>
      <c r="D414" t="str">
        <f t="shared" si="27"/>
        <v>Bertambah</v>
      </c>
      <c r="E414" t="str">
        <f t="shared" si="28"/>
        <v>1.3.1.01.03.19.</v>
      </c>
      <c r="F414" s="14">
        <v>409</v>
      </c>
      <c r="G414" s="24">
        <v>1</v>
      </c>
      <c r="H414" s="24">
        <v>3</v>
      </c>
      <c r="I414" s="24">
        <v>1</v>
      </c>
      <c r="J414" s="25" t="s">
        <v>13</v>
      </c>
      <c r="K414" s="25" t="s">
        <v>24</v>
      </c>
      <c r="L414" s="25">
        <v>19</v>
      </c>
      <c r="M414" s="25"/>
      <c r="N414" s="26" t="s">
        <v>468</v>
      </c>
      <c r="O414" s="14" t="b">
        <f t="shared" si="29"/>
        <v>0</v>
      </c>
      <c r="P414" s="14"/>
      <c r="Q414" s="14"/>
      <c r="R414" s="14">
        <v>409</v>
      </c>
      <c r="S414" s="28"/>
      <c r="T414" s="28"/>
      <c r="U414" s="28"/>
      <c r="V414" s="28"/>
      <c r="W414" s="28"/>
      <c r="X414" s="28"/>
      <c r="Y414" s="28"/>
      <c r="Z414" s="28"/>
    </row>
    <row r="415" spans="2:26" s="1" customFormat="1" x14ac:dyDescent="0.25">
      <c r="B415" t="s">
        <v>469</v>
      </c>
      <c r="C415" t="str">
        <f t="shared" si="26"/>
        <v>....</v>
      </c>
      <c r="D415" t="str">
        <f t="shared" si="27"/>
        <v>Bertambah</v>
      </c>
      <c r="E415" t="str">
        <f t="shared" si="28"/>
        <v>1.3.1.01.03.19.001</v>
      </c>
      <c r="F415" s="1">
        <v>410</v>
      </c>
      <c r="G415" s="19">
        <v>1</v>
      </c>
      <c r="H415" s="19">
        <v>3</v>
      </c>
      <c r="I415" s="19">
        <v>1</v>
      </c>
      <c r="J415" s="20" t="s">
        <v>13</v>
      </c>
      <c r="K415" s="20" t="s">
        <v>24</v>
      </c>
      <c r="L415" s="20">
        <v>19</v>
      </c>
      <c r="M415" s="20" t="s">
        <v>17</v>
      </c>
      <c r="N415" s="21" t="s">
        <v>50</v>
      </c>
      <c r="O415" s="1" t="b">
        <f t="shared" si="29"/>
        <v>0</v>
      </c>
      <c r="R415" s="1">
        <v>410</v>
      </c>
      <c r="S415" s="34"/>
      <c r="T415" s="34"/>
      <c r="U415" s="34"/>
      <c r="V415" s="34"/>
      <c r="W415" s="34"/>
      <c r="X415" s="34"/>
      <c r="Y415" s="34"/>
      <c r="Z415" s="34"/>
    </row>
  </sheetData>
  <autoFilter ref="A4:Z4"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</autoFilter>
  <mergeCells count="2">
    <mergeCell ref="G2:N3"/>
    <mergeCell ref="S2:Z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7"/>
  <sheetViews>
    <sheetView tabSelected="1" topLeftCell="A37" workbookViewId="0">
      <selection activeCell="J5" sqref="J5"/>
    </sheetView>
  </sheetViews>
  <sheetFormatPr defaultRowHeight="15" x14ac:dyDescent="0.25"/>
  <sheetData>
    <row r="1" spans="1:8" ht="269.2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3" t="s">
        <v>9</v>
      </c>
      <c r="H1" s="4" t="s">
        <v>10</v>
      </c>
    </row>
    <row r="2" spans="1:8" x14ac:dyDescent="0.25">
      <c r="A2" s="9">
        <v>1</v>
      </c>
      <c r="B2" s="9">
        <v>3</v>
      </c>
      <c r="C2" s="9">
        <v>1</v>
      </c>
      <c r="D2" s="10" t="s">
        <v>13</v>
      </c>
      <c r="E2" s="10" t="s">
        <v>13</v>
      </c>
      <c r="F2" s="10" t="s">
        <v>13</v>
      </c>
      <c r="G2" s="10" t="s">
        <v>17</v>
      </c>
      <c r="H2" s="18" t="s">
        <v>18</v>
      </c>
    </row>
    <row r="3" spans="1:8" x14ac:dyDescent="0.25">
      <c r="A3" s="9">
        <v>1</v>
      </c>
      <c r="B3" s="9">
        <v>3</v>
      </c>
      <c r="C3" s="9">
        <v>1</v>
      </c>
      <c r="D3" s="10" t="s">
        <v>13</v>
      </c>
      <c r="E3" s="10" t="s">
        <v>13</v>
      </c>
      <c r="F3" s="10" t="s">
        <v>13</v>
      </c>
      <c r="G3" s="10" t="s">
        <v>19</v>
      </c>
      <c r="H3" s="18" t="s">
        <v>20</v>
      </c>
    </row>
    <row r="4" spans="1:8" x14ac:dyDescent="0.25">
      <c r="A4" s="9">
        <v>1</v>
      </c>
      <c r="B4" s="9">
        <v>3</v>
      </c>
      <c r="C4" s="9">
        <v>1</v>
      </c>
      <c r="D4" s="10" t="s">
        <v>13</v>
      </c>
      <c r="E4" s="10" t="s">
        <v>13</v>
      </c>
      <c r="F4" s="10" t="s">
        <v>13</v>
      </c>
      <c r="G4" s="10" t="s">
        <v>22</v>
      </c>
      <c r="H4" s="18" t="s">
        <v>23</v>
      </c>
    </row>
    <row r="5" spans="1:8" x14ac:dyDescent="0.25">
      <c r="A5" s="9">
        <v>1</v>
      </c>
      <c r="B5" s="9">
        <v>3</v>
      </c>
      <c r="C5" s="9">
        <v>1</v>
      </c>
      <c r="D5" s="10" t="s">
        <v>13</v>
      </c>
      <c r="E5" s="10" t="s">
        <v>13</v>
      </c>
      <c r="F5" s="10" t="s">
        <v>13</v>
      </c>
      <c r="G5" s="10" t="s">
        <v>25</v>
      </c>
      <c r="H5" s="18" t="s">
        <v>26</v>
      </c>
    </row>
    <row r="6" spans="1:8" x14ac:dyDescent="0.25">
      <c r="A6" s="9">
        <v>1</v>
      </c>
      <c r="B6" s="9">
        <v>3</v>
      </c>
      <c r="C6" s="9">
        <v>1</v>
      </c>
      <c r="D6" s="10" t="s">
        <v>13</v>
      </c>
      <c r="E6" s="10" t="s">
        <v>13</v>
      </c>
      <c r="F6" s="10" t="s">
        <v>13</v>
      </c>
      <c r="G6" s="10" t="s">
        <v>28</v>
      </c>
      <c r="H6" s="18" t="s">
        <v>29</v>
      </c>
    </row>
    <row r="7" spans="1:8" x14ac:dyDescent="0.25">
      <c r="A7" s="9">
        <v>1</v>
      </c>
      <c r="B7" s="9">
        <v>3</v>
      </c>
      <c r="C7" s="9">
        <v>1</v>
      </c>
      <c r="D7" s="10" t="s">
        <v>13</v>
      </c>
      <c r="E7" s="10" t="s">
        <v>13</v>
      </c>
      <c r="F7" s="10" t="s">
        <v>13</v>
      </c>
      <c r="G7" s="10" t="s">
        <v>31</v>
      </c>
      <c r="H7" s="18" t="s">
        <v>32</v>
      </c>
    </row>
    <row r="8" spans="1:8" x14ac:dyDescent="0.25">
      <c r="A8" s="9">
        <v>1</v>
      </c>
      <c r="B8" s="9">
        <v>3</v>
      </c>
      <c r="C8" s="9">
        <v>1</v>
      </c>
      <c r="D8" s="10" t="s">
        <v>13</v>
      </c>
      <c r="E8" s="10" t="s">
        <v>13</v>
      </c>
      <c r="F8" s="10" t="s">
        <v>13</v>
      </c>
      <c r="G8" s="10" t="s">
        <v>34</v>
      </c>
      <c r="H8" s="18" t="s">
        <v>35</v>
      </c>
    </row>
    <row r="9" spans="1:8" x14ac:dyDescent="0.25">
      <c r="A9" s="9">
        <v>1</v>
      </c>
      <c r="B9" s="9">
        <v>3</v>
      </c>
      <c r="C9" s="9">
        <v>1</v>
      </c>
      <c r="D9" s="10" t="s">
        <v>13</v>
      </c>
      <c r="E9" s="10" t="s">
        <v>13</v>
      </c>
      <c r="F9" s="10" t="s">
        <v>13</v>
      </c>
      <c r="G9" s="10" t="s">
        <v>37</v>
      </c>
      <c r="H9" s="18" t="s">
        <v>38</v>
      </c>
    </row>
    <row r="10" spans="1:8" x14ac:dyDescent="0.25">
      <c r="A10" s="9">
        <v>1</v>
      </c>
      <c r="B10" s="9">
        <v>3</v>
      </c>
      <c r="C10" s="9">
        <v>1</v>
      </c>
      <c r="D10" s="10" t="s">
        <v>13</v>
      </c>
      <c r="E10" s="10" t="s">
        <v>13</v>
      </c>
      <c r="F10" s="10" t="s">
        <v>13</v>
      </c>
      <c r="G10" s="10" t="s">
        <v>40</v>
      </c>
      <c r="H10" s="18" t="s">
        <v>41</v>
      </c>
    </row>
    <row r="11" spans="1:8" x14ac:dyDescent="0.25">
      <c r="A11" s="19">
        <v>1</v>
      </c>
      <c r="B11" s="19">
        <v>3</v>
      </c>
      <c r="C11" s="19">
        <v>1</v>
      </c>
      <c r="D11" s="20" t="s">
        <v>13</v>
      </c>
      <c r="E11" s="20" t="s">
        <v>13</v>
      </c>
      <c r="F11" s="20" t="s">
        <v>13</v>
      </c>
      <c r="G11" s="20" t="s">
        <v>43</v>
      </c>
      <c r="H11" s="21" t="s">
        <v>44</v>
      </c>
    </row>
    <row r="12" spans="1:8" x14ac:dyDescent="0.25">
      <c r="A12" s="24">
        <v>1</v>
      </c>
      <c r="B12" s="24">
        <v>3</v>
      </c>
      <c r="C12" s="24">
        <v>1</v>
      </c>
      <c r="D12" s="25" t="s">
        <v>13</v>
      </c>
      <c r="E12" s="25" t="s">
        <v>13</v>
      </c>
      <c r="F12" s="25" t="s">
        <v>13</v>
      </c>
      <c r="G12" s="25" t="s">
        <v>46</v>
      </c>
      <c r="H12" s="26" t="s">
        <v>47</v>
      </c>
    </row>
    <row r="13" spans="1:8" x14ac:dyDescent="0.25">
      <c r="A13" s="9">
        <v>1</v>
      </c>
      <c r="B13" s="9">
        <v>3</v>
      </c>
      <c r="C13" s="9">
        <v>1</v>
      </c>
      <c r="D13" s="10" t="s">
        <v>13</v>
      </c>
      <c r="E13" s="10" t="s">
        <v>13</v>
      </c>
      <c r="F13" s="10" t="s">
        <v>21</v>
      </c>
      <c r="G13" s="10" t="s">
        <v>17</v>
      </c>
      <c r="H13" s="18" t="s">
        <v>52</v>
      </c>
    </row>
    <row r="14" spans="1:8" x14ac:dyDescent="0.25">
      <c r="A14" s="19">
        <v>1</v>
      </c>
      <c r="B14" s="19">
        <v>3</v>
      </c>
      <c r="C14" s="19">
        <v>1</v>
      </c>
      <c r="D14" s="20" t="s">
        <v>13</v>
      </c>
      <c r="E14" s="20" t="s">
        <v>13</v>
      </c>
      <c r="F14" s="20" t="s">
        <v>21</v>
      </c>
      <c r="G14" s="20" t="s">
        <v>19</v>
      </c>
      <c r="H14" s="21" t="s">
        <v>53</v>
      </c>
    </row>
    <row r="15" spans="1:8" x14ac:dyDescent="0.25">
      <c r="A15" s="9">
        <v>1</v>
      </c>
      <c r="B15" s="9">
        <v>3</v>
      </c>
      <c r="C15" s="9">
        <v>1</v>
      </c>
      <c r="D15" s="10" t="s">
        <v>13</v>
      </c>
      <c r="E15" s="10" t="s">
        <v>13</v>
      </c>
      <c r="F15" s="10" t="s">
        <v>21</v>
      </c>
      <c r="G15" s="10" t="s">
        <v>22</v>
      </c>
      <c r="H15" s="18" t="s">
        <v>55</v>
      </c>
    </row>
    <row r="16" spans="1:8" x14ac:dyDescent="0.25">
      <c r="A16" s="9">
        <v>1</v>
      </c>
      <c r="B16" s="9">
        <v>3</v>
      </c>
      <c r="C16" s="9">
        <v>1</v>
      </c>
      <c r="D16" s="10" t="s">
        <v>13</v>
      </c>
      <c r="E16" s="10" t="s">
        <v>13</v>
      </c>
      <c r="F16" s="10" t="s">
        <v>21</v>
      </c>
      <c r="G16" s="10" t="s">
        <v>25</v>
      </c>
      <c r="H16" s="18" t="s">
        <v>56</v>
      </c>
    </row>
    <row r="17" spans="1:8" x14ac:dyDescent="0.25">
      <c r="A17" s="9">
        <v>1</v>
      </c>
      <c r="B17" s="9">
        <v>3</v>
      </c>
      <c r="C17" s="9">
        <v>1</v>
      </c>
      <c r="D17" s="10" t="s">
        <v>13</v>
      </c>
      <c r="E17" s="10" t="s">
        <v>13</v>
      </c>
      <c r="F17" s="10" t="s">
        <v>21</v>
      </c>
      <c r="G17" s="10" t="s">
        <v>28</v>
      </c>
      <c r="H17" s="18" t="s">
        <v>57</v>
      </c>
    </row>
    <row r="18" spans="1:8" x14ac:dyDescent="0.25">
      <c r="A18" s="19">
        <v>1</v>
      </c>
      <c r="B18" s="19">
        <v>3</v>
      </c>
      <c r="C18" s="19">
        <v>1</v>
      </c>
      <c r="D18" s="20" t="s">
        <v>13</v>
      </c>
      <c r="E18" s="20" t="s">
        <v>13</v>
      </c>
      <c r="F18" s="20" t="s">
        <v>21</v>
      </c>
      <c r="G18" s="20" t="s">
        <v>31</v>
      </c>
      <c r="H18" s="21" t="s">
        <v>58</v>
      </c>
    </row>
    <row r="19" spans="1:8" x14ac:dyDescent="0.25">
      <c r="A19" s="9">
        <v>1</v>
      </c>
      <c r="B19" s="9">
        <v>3</v>
      </c>
      <c r="C19" s="9">
        <v>1</v>
      </c>
      <c r="D19" s="10" t="s">
        <v>13</v>
      </c>
      <c r="E19" s="10" t="s">
        <v>13</v>
      </c>
      <c r="F19" s="10" t="s">
        <v>21</v>
      </c>
      <c r="G19" s="10" t="s">
        <v>34</v>
      </c>
      <c r="H19" s="18" t="s">
        <v>60</v>
      </c>
    </row>
    <row r="20" spans="1:8" x14ac:dyDescent="0.25">
      <c r="A20" s="9">
        <v>1</v>
      </c>
      <c r="B20" s="9">
        <v>3</v>
      </c>
      <c r="C20" s="9">
        <v>1</v>
      </c>
      <c r="D20" s="10" t="s">
        <v>13</v>
      </c>
      <c r="E20" s="10" t="s">
        <v>13</v>
      </c>
      <c r="F20" s="10" t="s">
        <v>21</v>
      </c>
      <c r="G20" s="10" t="s">
        <v>37</v>
      </c>
      <c r="H20" s="18" t="s">
        <v>61</v>
      </c>
    </row>
    <row r="21" spans="1:8" x14ac:dyDescent="0.25">
      <c r="A21" s="9">
        <v>1</v>
      </c>
      <c r="B21" s="9">
        <v>3</v>
      </c>
      <c r="C21" s="9">
        <v>1</v>
      </c>
      <c r="D21" s="10" t="s">
        <v>13</v>
      </c>
      <c r="E21" s="10" t="s">
        <v>13</v>
      </c>
      <c r="F21" s="10" t="s">
        <v>21</v>
      </c>
      <c r="G21" s="10" t="s">
        <v>40</v>
      </c>
      <c r="H21" s="18" t="s">
        <v>62</v>
      </c>
    </row>
    <row r="22" spans="1:8" x14ac:dyDescent="0.25">
      <c r="A22" s="9">
        <v>1</v>
      </c>
      <c r="B22" s="9">
        <v>3</v>
      </c>
      <c r="C22" s="9">
        <v>1</v>
      </c>
      <c r="D22" s="10" t="s">
        <v>13</v>
      </c>
      <c r="E22" s="10" t="s">
        <v>13</v>
      </c>
      <c r="F22" s="10" t="s">
        <v>21</v>
      </c>
      <c r="G22" s="10" t="s">
        <v>43</v>
      </c>
      <c r="H22" s="18" t="s">
        <v>63</v>
      </c>
    </row>
    <row r="23" spans="1:8" x14ac:dyDescent="0.25">
      <c r="A23" s="9">
        <v>1</v>
      </c>
      <c r="B23" s="9">
        <v>3</v>
      </c>
      <c r="C23" s="9">
        <v>1</v>
      </c>
      <c r="D23" s="10" t="s">
        <v>13</v>
      </c>
      <c r="E23" s="10" t="s">
        <v>13</v>
      </c>
      <c r="F23" s="10" t="s">
        <v>21</v>
      </c>
      <c r="G23" s="10" t="s">
        <v>46</v>
      </c>
      <c r="H23" s="18" t="s">
        <v>64</v>
      </c>
    </row>
    <row r="24" spans="1:8" x14ac:dyDescent="0.25">
      <c r="A24" s="9">
        <v>1</v>
      </c>
      <c r="B24" s="9">
        <v>3</v>
      </c>
      <c r="C24" s="9">
        <v>1</v>
      </c>
      <c r="D24" s="10" t="s">
        <v>13</v>
      </c>
      <c r="E24" s="10" t="s">
        <v>13</v>
      </c>
      <c r="F24" s="10" t="s">
        <v>21</v>
      </c>
      <c r="G24" s="10" t="s">
        <v>49</v>
      </c>
      <c r="H24" s="18" t="s">
        <v>65</v>
      </c>
    </row>
    <row r="25" spans="1:8" x14ac:dyDescent="0.25">
      <c r="A25" s="9">
        <v>1</v>
      </c>
      <c r="B25" s="9">
        <v>3</v>
      </c>
      <c r="C25" s="9">
        <v>1</v>
      </c>
      <c r="D25" s="10" t="s">
        <v>13</v>
      </c>
      <c r="E25" s="10" t="s">
        <v>13</v>
      </c>
      <c r="F25" s="10" t="s">
        <v>21</v>
      </c>
      <c r="G25" s="10" t="s">
        <v>66</v>
      </c>
      <c r="H25" s="18" t="s">
        <v>67</v>
      </c>
    </row>
    <row r="26" spans="1:8" x14ac:dyDescent="0.25">
      <c r="A26" s="24">
        <v>1</v>
      </c>
      <c r="B26" s="24">
        <v>3</v>
      </c>
      <c r="C26" s="24">
        <v>1</v>
      </c>
      <c r="D26" s="25" t="s">
        <v>13</v>
      </c>
      <c r="E26" s="25" t="s">
        <v>13</v>
      </c>
      <c r="F26" s="25" t="s">
        <v>21</v>
      </c>
      <c r="G26" s="25" t="s">
        <v>68</v>
      </c>
      <c r="H26" s="26" t="s">
        <v>69</v>
      </c>
    </row>
    <row r="27" spans="1:8" x14ac:dyDescent="0.25">
      <c r="A27" s="9">
        <v>1</v>
      </c>
      <c r="B27" s="9">
        <v>3</v>
      </c>
      <c r="C27" s="9">
        <v>1</v>
      </c>
      <c r="D27" s="10" t="s">
        <v>13</v>
      </c>
      <c r="E27" s="10" t="s">
        <v>13</v>
      </c>
      <c r="F27" s="10" t="s">
        <v>24</v>
      </c>
      <c r="G27" s="10" t="s">
        <v>17</v>
      </c>
      <c r="H27" s="18" t="s">
        <v>73</v>
      </c>
    </row>
    <row r="28" spans="1:8" x14ac:dyDescent="0.25">
      <c r="A28" s="9">
        <v>1</v>
      </c>
      <c r="B28" s="9">
        <v>3</v>
      </c>
      <c r="C28" s="9">
        <v>1</v>
      </c>
      <c r="D28" s="10" t="s">
        <v>13</v>
      </c>
      <c r="E28" s="10" t="s">
        <v>13</v>
      </c>
      <c r="F28" s="10" t="s">
        <v>24</v>
      </c>
      <c r="G28" s="10" t="s">
        <v>19</v>
      </c>
      <c r="H28" s="18" t="s">
        <v>74</v>
      </c>
    </row>
    <row r="29" spans="1:8" x14ac:dyDescent="0.25">
      <c r="A29" s="19">
        <v>1</v>
      </c>
      <c r="B29" s="19">
        <v>3</v>
      </c>
      <c r="C29" s="19">
        <v>1</v>
      </c>
      <c r="D29" s="20" t="s">
        <v>13</v>
      </c>
      <c r="E29" s="20" t="s">
        <v>13</v>
      </c>
      <c r="F29" s="20" t="s">
        <v>24</v>
      </c>
      <c r="G29" s="20" t="s">
        <v>22</v>
      </c>
      <c r="H29" s="21" t="s">
        <v>75</v>
      </c>
    </row>
    <row r="30" spans="1:8" x14ac:dyDescent="0.25">
      <c r="A30" s="9">
        <v>1</v>
      </c>
      <c r="B30" s="9">
        <v>3</v>
      </c>
      <c r="C30" s="9">
        <v>1</v>
      </c>
      <c r="D30" s="10" t="s">
        <v>13</v>
      </c>
      <c r="E30" s="10" t="s">
        <v>13</v>
      </c>
      <c r="F30" s="10" t="s">
        <v>24</v>
      </c>
      <c r="G30" s="10" t="s">
        <v>25</v>
      </c>
      <c r="H30" s="18" t="s">
        <v>77</v>
      </c>
    </row>
    <row r="31" spans="1:8" x14ac:dyDescent="0.25">
      <c r="A31" s="19">
        <v>1</v>
      </c>
      <c r="B31" s="19">
        <v>3</v>
      </c>
      <c r="C31" s="19">
        <v>1</v>
      </c>
      <c r="D31" s="20" t="s">
        <v>13</v>
      </c>
      <c r="E31" s="20" t="s">
        <v>13</v>
      </c>
      <c r="F31" s="20" t="s">
        <v>24</v>
      </c>
      <c r="G31" s="20" t="s">
        <v>28</v>
      </c>
      <c r="H31" s="21" t="s">
        <v>78</v>
      </c>
    </row>
    <row r="32" spans="1:8" x14ac:dyDescent="0.25">
      <c r="A32" s="19">
        <v>1</v>
      </c>
      <c r="B32" s="19">
        <v>3</v>
      </c>
      <c r="C32" s="19">
        <v>1</v>
      </c>
      <c r="D32" s="20" t="s">
        <v>13</v>
      </c>
      <c r="E32" s="20" t="s">
        <v>13</v>
      </c>
      <c r="F32" s="20" t="s">
        <v>24</v>
      </c>
      <c r="G32" s="20" t="s">
        <v>31</v>
      </c>
      <c r="H32" s="21" t="s">
        <v>81</v>
      </c>
    </row>
    <row r="33" spans="1:8" x14ac:dyDescent="0.25">
      <c r="A33" s="9">
        <v>1</v>
      </c>
      <c r="B33" s="9">
        <v>3</v>
      </c>
      <c r="C33" s="9">
        <v>1</v>
      </c>
      <c r="D33" s="10" t="s">
        <v>13</v>
      </c>
      <c r="E33" s="10" t="s">
        <v>13</v>
      </c>
      <c r="F33" s="10" t="s">
        <v>24</v>
      </c>
      <c r="G33" s="10" t="s">
        <v>34</v>
      </c>
      <c r="H33" s="18" t="s">
        <v>83</v>
      </c>
    </row>
    <row r="34" spans="1:8" x14ac:dyDescent="0.25">
      <c r="A34" s="9">
        <v>1</v>
      </c>
      <c r="B34" s="9">
        <v>3</v>
      </c>
      <c r="C34" s="9">
        <v>1</v>
      </c>
      <c r="D34" s="10" t="s">
        <v>13</v>
      </c>
      <c r="E34" s="10" t="s">
        <v>13</v>
      </c>
      <c r="F34" s="10" t="s">
        <v>24</v>
      </c>
      <c r="G34" s="10" t="s">
        <v>37</v>
      </c>
      <c r="H34" s="18" t="s">
        <v>84</v>
      </c>
    </row>
    <row r="35" spans="1:8" x14ac:dyDescent="0.25">
      <c r="A35" s="24">
        <v>1</v>
      </c>
      <c r="B35" s="24">
        <v>3</v>
      </c>
      <c r="C35" s="24">
        <v>1</v>
      </c>
      <c r="D35" s="25" t="s">
        <v>13</v>
      </c>
      <c r="E35" s="25" t="s">
        <v>13</v>
      </c>
      <c r="F35" s="25" t="s">
        <v>24</v>
      </c>
      <c r="G35" s="25" t="s">
        <v>40</v>
      </c>
      <c r="H35" s="26" t="s">
        <v>85</v>
      </c>
    </row>
    <row r="36" spans="1:8" x14ac:dyDescent="0.25">
      <c r="A36" s="9">
        <v>1</v>
      </c>
      <c r="B36" s="9">
        <v>3</v>
      </c>
      <c r="C36" s="9">
        <v>1</v>
      </c>
      <c r="D36" s="10" t="s">
        <v>13</v>
      </c>
      <c r="E36" s="10" t="s">
        <v>13</v>
      </c>
      <c r="F36" s="10" t="s">
        <v>24</v>
      </c>
      <c r="G36" s="10" t="s">
        <v>43</v>
      </c>
      <c r="H36" s="18" t="s">
        <v>86</v>
      </c>
    </row>
    <row r="37" spans="1:8" x14ac:dyDescent="0.25">
      <c r="A37" s="9">
        <v>1</v>
      </c>
      <c r="B37" s="9">
        <v>3</v>
      </c>
      <c r="C37" s="9">
        <v>1</v>
      </c>
      <c r="D37" s="10" t="s">
        <v>13</v>
      </c>
      <c r="E37" s="10" t="s">
        <v>13</v>
      </c>
      <c r="F37" s="10" t="s">
        <v>24</v>
      </c>
      <c r="G37" s="10" t="s">
        <v>46</v>
      </c>
      <c r="H37" s="18" t="s">
        <v>88</v>
      </c>
    </row>
    <row r="38" spans="1:8" x14ac:dyDescent="0.25">
      <c r="A38" s="19">
        <v>1</v>
      </c>
      <c r="B38" s="19">
        <v>3</v>
      </c>
      <c r="C38" s="19">
        <v>1</v>
      </c>
      <c r="D38" s="20" t="s">
        <v>13</v>
      </c>
      <c r="E38" s="20" t="s">
        <v>13</v>
      </c>
      <c r="F38" s="20" t="s">
        <v>24</v>
      </c>
      <c r="G38" s="20" t="s">
        <v>49</v>
      </c>
      <c r="H38" s="21" t="s">
        <v>89</v>
      </c>
    </row>
    <row r="39" spans="1:8" x14ac:dyDescent="0.25">
      <c r="A39" s="9">
        <v>1</v>
      </c>
      <c r="B39" s="9">
        <v>3</v>
      </c>
      <c r="C39" s="9">
        <v>1</v>
      </c>
      <c r="D39" s="10" t="s">
        <v>13</v>
      </c>
      <c r="E39" s="10" t="s">
        <v>13</v>
      </c>
      <c r="F39" s="10" t="s">
        <v>24</v>
      </c>
      <c r="G39" s="10" t="s">
        <v>66</v>
      </c>
      <c r="H39" s="18" t="s">
        <v>91</v>
      </c>
    </row>
    <row r="40" spans="1:8" x14ac:dyDescent="0.25">
      <c r="A40" s="9">
        <v>1</v>
      </c>
      <c r="B40" s="9">
        <v>3</v>
      </c>
      <c r="C40" s="9">
        <v>1</v>
      </c>
      <c r="D40" s="10" t="s">
        <v>13</v>
      </c>
      <c r="E40" s="10" t="s">
        <v>13</v>
      </c>
      <c r="F40" s="10" t="s">
        <v>24</v>
      </c>
      <c r="G40" s="10" t="s">
        <v>68</v>
      </c>
      <c r="H40" s="18" t="s">
        <v>92</v>
      </c>
    </row>
    <row r="41" spans="1:8" x14ac:dyDescent="0.25">
      <c r="A41" s="9">
        <v>1</v>
      </c>
      <c r="B41" s="9">
        <v>3</v>
      </c>
      <c r="C41" s="9">
        <v>1</v>
      </c>
      <c r="D41" s="10" t="s">
        <v>13</v>
      </c>
      <c r="E41" s="10" t="s">
        <v>13</v>
      </c>
      <c r="F41" s="10" t="s">
        <v>24</v>
      </c>
      <c r="G41" s="10" t="s">
        <v>71</v>
      </c>
      <c r="H41" s="18" t="s">
        <v>93</v>
      </c>
    </row>
    <row r="42" spans="1:8" x14ac:dyDescent="0.25">
      <c r="A42" s="9">
        <v>1</v>
      </c>
      <c r="B42" s="9">
        <v>3</v>
      </c>
      <c r="C42" s="9">
        <v>1</v>
      </c>
      <c r="D42" s="10" t="s">
        <v>13</v>
      </c>
      <c r="E42" s="10" t="s">
        <v>13</v>
      </c>
      <c r="F42" s="10" t="s">
        <v>24</v>
      </c>
      <c r="G42" s="10" t="s">
        <v>94</v>
      </c>
      <c r="H42" s="18" t="s">
        <v>95</v>
      </c>
    </row>
    <row r="43" spans="1:8" x14ac:dyDescent="0.25">
      <c r="A43" s="9">
        <v>1</v>
      </c>
      <c r="B43" s="9">
        <v>3</v>
      </c>
      <c r="C43" s="9">
        <v>1</v>
      </c>
      <c r="D43" s="10" t="s">
        <v>13</v>
      </c>
      <c r="E43" s="10" t="s">
        <v>13</v>
      </c>
      <c r="F43" s="10" t="s">
        <v>24</v>
      </c>
      <c r="G43" s="10" t="s">
        <v>96</v>
      </c>
      <c r="H43" s="18" t="s">
        <v>97</v>
      </c>
    </row>
    <row r="44" spans="1:8" x14ac:dyDescent="0.25">
      <c r="A44" s="9">
        <v>1</v>
      </c>
      <c r="B44" s="9">
        <v>3</v>
      </c>
      <c r="C44" s="9">
        <v>1</v>
      </c>
      <c r="D44" s="10" t="s">
        <v>13</v>
      </c>
      <c r="E44" s="10" t="s">
        <v>13</v>
      </c>
      <c r="F44" s="10" t="s">
        <v>24</v>
      </c>
      <c r="G44" s="10" t="s">
        <v>98</v>
      </c>
      <c r="H44" s="18" t="s">
        <v>99</v>
      </c>
    </row>
    <row r="45" spans="1:8" x14ac:dyDescent="0.25">
      <c r="A45" s="9">
        <v>1</v>
      </c>
      <c r="B45" s="9">
        <v>3</v>
      </c>
      <c r="C45" s="9">
        <v>1</v>
      </c>
      <c r="D45" s="10" t="s">
        <v>13</v>
      </c>
      <c r="E45" s="10" t="s">
        <v>13</v>
      </c>
      <c r="F45" s="10" t="s">
        <v>24</v>
      </c>
      <c r="G45" s="10" t="s">
        <v>100</v>
      </c>
      <c r="H45" s="18" t="s">
        <v>101</v>
      </c>
    </row>
    <row r="46" spans="1:8" x14ac:dyDescent="0.25">
      <c r="A46" s="9">
        <v>1</v>
      </c>
      <c r="B46" s="9">
        <v>3</v>
      </c>
      <c r="C46" s="9">
        <v>1</v>
      </c>
      <c r="D46" s="10" t="s">
        <v>13</v>
      </c>
      <c r="E46" s="10" t="s">
        <v>13</v>
      </c>
      <c r="F46" s="10" t="s">
        <v>24</v>
      </c>
      <c r="G46" s="10" t="s">
        <v>102</v>
      </c>
      <c r="H46" s="18" t="s">
        <v>103</v>
      </c>
    </row>
    <row r="47" spans="1:8" x14ac:dyDescent="0.25">
      <c r="A47" s="19">
        <v>1</v>
      </c>
      <c r="B47" s="19">
        <v>3</v>
      </c>
      <c r="C47" s="19">
        <v>1</v>
      </c>
      <c r="D47" s="20" t="s">
        <v>13</v>
      </c>
      <c r="E47" s="20" t="s">
        <v>13</v>
      </c>
      <c r="F47" s="20" t="s">
        <v>24</v>
      </c>
      <c r="G47" s="20" t="s">
        <v>104</v>
      </c>
      <c r="H47" s="21" t="s">
        <v>105</v>
      </c>
    </row>
    <row r="48" spans="1:8" x14ac:dyDescent="0.25">
      <c r="A48" s="19">
        <v>1</v>
      </c>
      <c r="B48" s="19">
        <v>3</v>
      </c>
      <c r="C48" s="19">
        <v>1</v>
      </c>
      <c r="D48" s="20" t="s">
        <v>13</v>
      </c>
      <c r="E48" s="20" t="s">
        <v>13</v>
      </c>
      <c r="F48" s="20" t="s">
        <v>24</v>
      </c>
      <c r="G48" s="20" t="s">
        <v>107</v>
      </c>
      <c r="H48" s="21" t="s">
        <v>108</v>
      </c>
    </row>
    <row r="49" spans="1:8" x14ac:dyDescent="0.25">
      <c r="A49" s="24">
        <v>1</v>
      </c>
      <c r="B49" s="24">
        <v>3</v>
      </c>
      <c r="C49" s="24">
        <v>1</v>
      </c>
      <c r="D49" s="25" t="s">
        <v>13</v>
      </c>
      <c r="E49" s="25" t="s">
        <v>13</v>
      </c>
      <c r="F49" s="25" t="s">
        <v>24</v>
      </c>
      <c r="G49" s="25" t="s">
        <v>110</v>
      </c>
      <c r="H49" s="26" t="s">
        <v>111</v>
      </c>
    </row>
    <row r="50" spans="1:8" x14ac:dyDescent="0.25">
      <c r="A50" s="9">
        <v>1</v>
      </c>
      <c r="B50" s="9">
        <v>3</v>
      </c>
      <c r="C50" s="9">
        <v>1</v>
      </c>
      <c r="D50" s="10" t="s">
        <v>13</v>
      </c>
      <c r="E50" s="10" t="s">
        <v>13</v>
      </c>
      <c r="F50" s="10" t="s">
        <v>27</v>
      </c>
      <c r="G50" s="10" t="s">
        <v>17</v>
      </c>
      <c r="H50" s="18" t="s">
        <v>116</v>
      </c>
    </row>
    <row r="51" spans="1:8" x14ac:dyDescent="0.25">
      <c r="A51" s="9">
        <v>1</v>
      </c>
      <c r="B51" s="9">
        <v>3</v>
      </c>
      <c r="C51" s="9">
        <v>1</v>
      </c>
      <c r="D51" s="10" t="s">
        <v>13</v>
      </c>
      <c r="E51" s="10" t="s">
        <v>13</v>
      </c>
      <c r="F51" s="10" t="s">
        <v>27</v>
      </c>
      <c r="G51" s="10" t="s">
        <v>19</v>
      </c>
      <c r="H51" s="18" t="s">
        <v>117</v>
      </c>
    </row>
    <row r="52" spans="1:8" x14ac:dyDescent="0.25">
      <c r="A52" s="9">
        <v>1</v>
      </c>
      <c r="B52" s="9">
        <v>3</v>
      </c>
      <c r="C52" s="9">
        <v>1</v>
      </c>
      <c r="D52" s="10" t="s">
        <v>13</v>
      </c>
      <c r="E52" s="10" t="s">
        <v>13</v>
      </c>
      <c r="F52" s="10" t="s">
        <v>27</v>
      </c>
      <c r="G52" s="10" t="s">
        <v>22</v>
      </c>
      <c r="H52" s="18" t="s">
        <v>118</v>
      </c>
    </row>
    <row r="53" spans="1:8" x14ac:dyDescent="0.25">
      <c r="A53" s="9">
        <v>1</v>
      </c>
      <c r="B53" s="9">
        <v>3</v>
      </c>
      <c r="C53" s="9">
        <v>1</v>
      </c>
      <c r="D53" s="10" t="s">
        <v>13</v>
      </c>
      <c r="E53" s="10" t="s">
        <v>13</v>
      </c>
      <c r="F53" s="10" t="s">
        <v>27</v>
      </c>
      <c r="G53" s="10" t="s">
        <v>25</v>
      </c>
      <c r="H53" s="18" t="s">
        <v>119</v>
      </c>
    </row>
    <row r="54" spans="1:8" x14ac:dyDescent="0.25">
      <c r="A54" s="9">
        <v>1</v>
      </c>
      <c r="B54" s="9">
        <v>3</v>
      </c>
      <c r="C54" s="9">
        <v>1</v>
      </c>
      <c r="D54" s="10" t="s">
        <v>13</v>
      </c>
      <c r="E54" s="10" t="s">
        <v>13</v>
      </c>
      <c r="F54" s="10" t="s">
        <v>27</v>
      </c>
      <c r="G54" s="10" t="s">
        <v>28</v>
      </c>
      <c r="H54" s="18" t="s">
        <v>120</v>
      </c>
    </row>
    <row r="55" spans="1:8" x14ac:dyDescent="0.25">
      <c r="A55" s="9">
        <v>1</v>
      </c>
      <c r="B55" s="9">
        <v>3</v>
      </c>
      <c r="C55" s="9">
        <v>1</v>
      </c>
      <c r="D55" s="10" t="s">
        <v>13</v>
      </c>
      <c r="E55" s="10" t="s">
        <v>13</v>
      </c>
      <c r="F55" s="10" t="s">
        <v>27</v>
      </c>
      <c r="G55" s="10" t="s">
        <v>31</v>
      </c>
      <c r="H55" s="18" t="s">
        <v>121</v>
      </c>
    </row>
    <row r="56" spans="1:8" x14ac:dyDescent="0.25">
      <c r="A56" s="9">
        <v>1</v>
      </c>
      <c r="B56" s="9">
        <v>3</v>
      </c>
      <c r="C56" s="9">
        <v>1</v>
      </c>
      <c r="D56" s="10" t="s">
        <v>13</v>
      </c>
      <c r="E56" s="10" t="s">
        <v>13</v>
      </c>
      <c r="F56" s="10" t="s">
        <v>27</v>
      </c>
      <c r="G56" s="10" t="s">
        <v>34</v>
      </c>
      <c r="H56" s="18" t="s">
        <v>122</v>
      </c>
    </row>
    <row r="57" spans="1:8" x14ac:dyDescent="0.25">
      <c r="A57" s="19">
        <v>1</v>
      </c>
      <c r="B57" s="19">
        <v>3</v>
      </c>
      <c r="C57" s="19">
        <v>1</v>
      </c>
      <c r="D57" s="20" t="s">
        <v>13</v>
      </c>
      <c r="E57" s="20" t="s">
        <v>13</v>
      </c>
      <c r="F57" s="20" t="s">
        <v>27</v>
      </c>
      <c r="G57" s="20" t="s">
        <v>37</v>
      </c>
      <c r="H57" s="21" t="s">
        <v>123</v>
      </c>
    </row>
    <row r="58" spans="1:8" x14ac:dyDescent="0.25">
      <c r="A58" s="19">
        <v>1</v>
      </c>
      <c r="B58" s="19">
        <v>3</v>
      </c>
      <c r="C58" s="19">
        <v>1</v>
      </c>
      <c r="D58" s="20" t="s">
        <v>13</v>
      </c>
      <c r="E58" s="20" t="s">
        <v>13</v>
      </c>
      <c r="F58" s="20" t="s">
        <v>27</v>
      </c>
      <c r="G58" s="20" t="s">
        <v>40</v>
      </c>
      <c r="H58" s="21" t="s">
        <v>125</v>
      </c>
    </row>
    <row r="59" spans="1:8" x14ac:dyDescent="0.25">
      <c r="A59" s="9">
        <v>1</v>
      </c>
      <c r="B59" s="9">
        <v>3</v>
      </c>
      <c r="C59" s="9">
        <v>1</v>
      </c>
      <c r="D59" s="10" t="s">
        <v>13</v>
      </c>
      <c r="E59" s="10" t="s">
        <v>13</v>
      </c>
      <c r="F59" s="10" t="s">
        <v>27</v>
      </c>
      <c r="G59" s="10" t="s">
        <v>43</v>
      </c>
      <c r="H59" s="18" t="s">
        <v>127</v>
      </c>
    </row>
    <row r="60" spans="1:8" x14ac:dyDescent="0.25">
      <c r="A60" s="19">
        <v>1</v>
      </c>
      <c r="B60" s="19">
        <v>3</v>
      </c>
      <c r="C60" s="19">
        <v>1</v>
      </c>
      <c r="D60" s="20" t="s">
        <v>13</v>
      </c>
      <c r="E60" s="20" t="s">
        <v>13</v>
      </c>
      <c r="F60" s="20" t="s">
        <v>27</v>
      </c>
      <c r="G60" s="20" t="s">
        <v>46</v>
      </c>
      <c r="H60" s="21" t="s">
        <v>128</v>
      </c>
    </row>
    <row r="61" spans="1:8" x14ac:dyDescent="0.25">
      <c r="A61" s="9">
        <v>1</v>
      </c>
      <c r="B61" s="9">
        <v>3</v>
      </c>
      <c r="C61" s="9">
        <v>1</v>
      </c>
      <c r="D61" s="10" t="s">
        <v>13</v>
      </c>
      <c r="E61" s="10" t="s">
        <v>13</v>
      </c>
      <c r="F61" s="10" t="s">
        <v>27</v>
      </c>
      <c r="G61" s="10" t="s">
        <v>49</v>
      </c>
      <c r="H61" s="18" t="s">
        <v>130</v>
      </c>
    </row>
    <row r="62" spans="1:8" x14ac:dyDescent="0.25">
      <c r="A62" s="19">
        <v>1</v>
      </c>
      <c r="B62" s="19">
        <v>3</v>
      </c>
      <c r="C62" s="19">
        <v>1</v>
      </c>
      <c r="D62" s="20" t="s">
        <v>13</v>
      </c>
      <c r="E62" s="20" t="s">
        <v>13</v>
      </c>
      <c r="F62" s="20" t="s">
        <v>27</v>
      </c>
      <c r="G62" s="20" t="s">
        <v>66</v>
      </c>
      <c r="H62" s="21" t="s">
        <v>131</v>
      </c>
    </row>
    <row r="63" spans="1:8" x14ac:dyDescent="0.25">
      <c r="A63" s="9">
        <v>1</v>
      </c>
      <c r="B63" s="9">
        <v>3</v>
      </c>
      <c r="C63" s="9">
        <v>1</v>
      </c>
      <c r="D63" s="10" t="s">
        <v>13</v>
      </c>
      <c r="E63" s="10" t="s">
        <v>13</v>
      </c>
      <c r="F63" s="10" t="s">
        <v>27</v>
      </c>
      <c r="G63" s="10" t="s">
        <v>68</v>
      </c>
      <c r="H63" s="18" t="s">
        <v>133</v>
      </c>
    </row>
    <row r="64" spans="1:8" x14ac:dyDescent="0.25">
      <c r="A64" s="19">
        <v>1</v>
      </c>
      <c r="B64" s="19">
        <v>3</v>
      </c>
      <c r="C64" s="19">
        <v>1</v>
      </c>
      <c r="D64" s="20" t="s">
        <v>13</v>
      </c>
      <c r="E64" s="20" t="s">
        <v>13</v>
      </c>
      <c r="F64" s="20" t="s">
        <v>27</v>
      </c>
      <c r="G64" s="20" t="s">
        <v>71</v>
      </c>
      <c r="H64" s="21" t="s">
        <v>134</v>
      </c>
    </row>
    <row r="65" spans="1:8" x14ac:dyDescent="0.25">
      <c r="A65" s="9">
        <v>1</v>
      </c>
      <c r="B65" s="9">
        <v>3</v>
      </c>
      <c r="C65" s="9">
        <v>1</v>
      </c>
      <c r="D65" s="10" t="s">
        <v>13</v>
      </c>
      <c r="E65" s="10" t="s">
        <v>13</v>
      </c>
      <c r="F65" s="10" t="s">
        <v>27</v>
      </c>
      <c r="G65" s="10" t="s">
        <v>94</v>
      </c>
      <c r="H65" s="18" t="s">
        <v>136</v>
      </c>
    </row>
    <row r="66" spans="1:8" x14ac:dyDescent="0.25">
      <c r="A66" s="9">
        <v>1</v>
      </c>
      <c r="B66" s="9">
        <v>3</v>
      </c>
      <c r="C66" s="9">
        <v>1</v>
      </c>
      <c r="D66" s="10" t="s">
        <v>13</v>
      </c>
      <c r="E66" s="10" t="s">
        <v>13</v>
      </c>
      <c r="F66" s="10" t="s">
        <v>27</v>
      </c>
      <c r="G66" s="10" t="s">
        <v>96</v>
      </c>
      <c r="H66" s="18" t="s">
        <v>137</v>
      </c>
    </row>
    <row r="67" spans="1:8" x14ac:dyDescent="0.25">
      <c r="A67" s="9">
        <v>1</v>
      </c>
      <c r="B67" s="9">
        <v>3</v>
      </c>
      <c r="C67" s="9">
        <v>1</v>
      </c>
      <c r="D67" s="10" t="s">
        <v>13</v>
      </c>
      <c r="E67" s="10" t="s">
        <v>13</v>
      </c>
      <c r="F67" s="10" t="s">
        <v>27</v>
      </c>
      <c r="G67" s="10" t="s">
        <v>98</v>
      </c>
      <c r="H67" s="18" t="s">
        <v>138</v>
      </c>
    </row>
    <row r="68" spans="1:8" x14ac:dyDescent="0.25">
      <c r="A68" s="24">
        <v>1</v>
      </c>
      <c r="B68" s="24">
        <v>3</v>
      </c>
      <c r="C68" s="24">
        <v>1</v>
      </c>
      <c r="D68" s="25" t="s">
        <v>13</v>
      </c>
      <c r="E68" s="25" t="s">
        <v>13</v>
      </c>
      <c r="F68" s="25" t="s">
        <v>27</v>
      </c>
      <c r="G68" s="25" t="s">
        <v>100</v>
      </c>
      <c r="H68" s="26" t="s">
        <v>139</v>
      </c>
    </row>
    <row r="69" spans="1:8" x14ac:dyDescent="0.25">
      <c r="A69" s="24">
        <v>1</v>
      </c>
      <c r="B69" s="24">
        <v>3</v>
      </c>
      <c r="C69" s="24">
        <v>1</v>
      </c>
      <c r="D69" s="25" t="s">
        <v>13</v>
      </c>
      <c r="E69" s="25" t="s">
        <v>13</v>
      </c>
      <c r="F69" s="25" t="s">
        <v>27</v>
      </c>
      <c r="G69" s="25" t="s">
        <v>102</v>
      </c>
      <c r="H69" s="26" t="s">
        <v>142</v>
      </c>
    </row>
    <row r="70" spans="1:8" x14ac:dyDescent="0.25">
      <c r="A70" s="24">
        <v>1</v>
      </c>
      <c r="B70" s="24">
        <v>3</v>
      </c>
      <c r="C70" s="24">
        <v>1</v>
      </c>
      <c r="D70" s="25" t="s">
        <v>13</v>
      </c>
      <c r="E70" s="25" t="s">
        <v>13</v>
      </c>
      <c r="F70" s="25" t="s">
        <v>27</v>
      </c>
      <c r="G70" s="25" t="s">
        <v>104</v>
      </c>
      <c r="H70" s="26" t="s">
        <v>143</v>
      </c>
    </row>
    <row r="71" spans="1:8" x14ac:dyDescent="0.25">
      <c r="A71" s="24">
        <v>1</v>
      </c>
      <c r="B71" s="24">
        <v>3</v>
      </c>
      <c r="C71" s="24">
        <v>1</v>
      </c>
      <c r="D71" s="25" t="s">
        <v>13</v>
      </c>
      <c r="E71" s="25" t="s">
        <v>13</v>
      </c>
      <c r="F71" s="25" t="s">
        <v>27</v>
      </c>
      <c r="G71" s="25" t="s">
        <v>107</v>
      </c>
      <c r="H71" s="26" t="s">
        <v>144</v>
      </c>
    </row>
    <row r="72" spans="1:8" x14ac:dyDescent="0.25">
      <c r="A72" s="24">
        <v>1</v>
      </c>
      <c r="B72" s="24">
        <v>3</v>
      </c>
      <c r="C72" s="24">
        <v>1</v>
      </c>
      <c r="D72" s="25" t="s">
        <v>13</v>
      </c>
      <c r="E72" s="25" t="s">
        <v>13</v>
      </c>
      <c r="F72" s="25" t="s">
        <v>27</v>
      </c>
      <c r="G72" s="25" t="s">
        <v>110</v>
      </c>
      <c r="H72" s="26" t="s">
        <v>145</v>
      </c>
    </row>
    <row r="73" spans="1:8" x14ac:dyDescent="0.25">
      <c r="A73" s="24">
        <v>1</v>
      </c>
      <c r="B73" s="24">
        <v>3</v>
      </c>
      <c r="C73" s="24">
        <v>1</v>
      </c>
      <c r="D73" s="25" t="s">
        <v>13</v>
      </c>
      <c r="E73" s="25" t="s">
        <v>13</v>
      </c>
      <c r="F73" s="25" t="s">
        <v>27</v>
      </c>
      <c r="G73" s="25" t="s">
        <v>112</v>
      </c>
      <c r="H73" s="26" t="s">
        <v>146</v>
      </c>
    </row>
    <row r="74" spans="1:8" x14ac:dyDescent="0.25">
      <c r="A74" s="24">
        <v>1</v>
      </c>
      <c r="B74" s="24">
        <v>3</v>
      </c>
      <c r="C74" s="24">
        <v>1</v>
      </c>
      <c r="D74" s="25" t="s">
        <v>13</v>
      </c>
      <c r="E74" s="25" t="s">
        <v>13</v>
      </c>
      <c r="F74" s="25" t="s">
        <v>27</v>
      </c>
      <c r="G74" s="25" t="s">
        <v>147</v>
      </c>
      <c r="H74" s="26" t="s">
        <v>148</v>
      </c>
    </row>
    <row r="75" spans="1:8" x14ac:dyDescent="0.25">
      <c r="A75" s="19">
        <v>1</v>
      </c>
      <c r="B75" s="19">
        <v>3</v>
      </c>
      <c r="C75" s="19">
        <v>1</v>
      </c>
      <c r="D75" s="20" t="s">
        <v>13</v>
      </c>
      <c r="E75" s="20" t="s">
        <v>13</v>
      </c>
      <c r="F75" s="20" t="s">
        <v>30</v>
      </c>
      <c r="G75" s="20" t="s">
        <v>17</v>
      </c>
      <c r="H75" s="21" t="s">
        <v>154</v>
      </c>
    </row>
    <row r="76" spans="1:8" x14ac:dyDescent="0.25">
      <c r="A76" s="19">
        <v>1</v>
      </c>
      <c r="B76" s="19">
        <v>3</v>
      </c>
      <c r="C76" s="19">
        <v>1</v>
      </c>
      <c r="D76" s="20" t="s">
        <v>13</v>
      </c>
      <c r="E76" s="20" t="s">
        <v>13</v>
      </c>
      <c r="F76" s="20" t="s">
        <v>30</v>
      </c>
      <c r="G76" s="20" t="s">
        <v>19</v>
      </c>
      <c r="H76" s="21" t="s">
        <v>156</v>
      </c>
    </row>
    <row r="77" spans="1:8" x14ac:dyDescent="0.25">
      <c r="A77" s="9">
        <v>1</v>
      </c>
      <c r="B77" s="9">
        <v>3</v>
      </c>
      <c r="C77" s="9">
        <v>1</v>
      </c>
      <c r="D77" s="10" t="s">
        <v>13</v>
      </c>
      <c r="E77" s="10" t="s">
        <v>13</v>
      </c>
      <c r="F77" s="10" t="s">
        <v>33</v>
      </c>
      <c r="G77" s="10" t="s">
        <v>17</v>
      </c>
      <c r="H77" s="18" t="s">
        <v>160</v>
      </c>
    </row>
    <row r="78" spans="1:8" x14ac:dyDescent="0.25">
      <c r="A78" s="9">
        <v>1</v>
      </c>
      <c r="B78" s="9">
        <v>3</v>
      </c>
      <c r="C78" s="9">
        <v>1</v>
      </c>
      <c r="D78" s="10" t="s">
        <v>13</v>
      </c>
      <c r="E78" s="10" t="s">
        <v>13</v>
      </c>
      <c r="F78" s="10" t="s">
        <v>33</v>
      </c>
      <c r="G78" s="10" t="s">
        <v>19</v>
      </c>
      <c r="H78" s="18" t="s">
        <v>161</v>
      </c>
    </row>
    <row r="79" spans="1:8" x14ac:dyDescent="0.25">
      <c r="A79" s="9">
        <v>1</v>
      </c>
      <c r="B79" s="9">
        <v>3</v>
      </c>
      <c r="C79" s="9">
        <v>1</v>
      </c>
      <c r="D79" s="10" t="s">
        <v>13</v>
      </c>
      <c r="E79" s="10" t="s">
        <v>13</v>
      </c>
      <c r="F79" s="10" t="s">
        <v>33</v>
      </c>
      <c r="G79" s="10" t="s">
        <v>22</v>
      </c>
      <c r="H79" s="18" t="s">
        <v>162</v>
      </c>
    </row>
    <row r="80" spans="1:8" x14ac:dyDescent="0.25">
      <c r="A80" s="9">
        <v>1</v>
      </c>
      <c r="B80" s="9">
        <v>3</v>
      </c>
      <c r="C80" s="9">
        <v>1</v>
      </c>
      <c r="D80" s="10" t="s">
        <v>13</v>
      </c>
      <c r="E80" s="10" t="s">
        <v>13</v>
      </c>
      <c r="F80" s="10" t="s">
        <v>33</v>
      </c>
      <c r="G80" s="10" t="s">
        <v>25</v>
      </c>
      <c r="H80" s="18" t="s">
        <v>163</v>
      </c>
    </row>
    <row r="81" spans="1:8" x14ac:dyDescent="0.25">
      <c r="A81" s="9">
        <v>1</v>
      </c>
      <c r="B81" s="9">
        <v>3</v>
      </c>
      <c r="C81" s="9">
        <v>1</v>
      </c>
      <c r="D81" s="10" t="s">
        <v>13</v>
      </c>
      <c r="E81" s="10" t="s">
        <v>13</v>
      </c>
      <c r="F81" s="10" t="s">
        <v>33</v>
      </c>
      <c r="G81" s="10" t="s">
        <v>28</v>
      </c>
      <c r="H81" s="18" t="s">
        <v>164</v>
      </c>
    </row>
    <row r="82" spans="1:8" x14ac:dyDescent="0.25">
      <c r="A82" s="9">
        <v>1</v>
      </c>
      <c r="B82" s="9">
        <v>3</v>
      </c>
      <c r="C82" s="9">
        <v>1</v>
      </c>
      <c r="D82" s="10" t="s">
        <v>13</v>
      </c>
      <c r="E82" s="10" t="s">
        <v>13</v>
      </c>
      <c r="F82" s="10" t="s">
        <v>33</v>
      </c>
      <c r="G82" s="10" t="s">
        <v>31</v>
      </c>
      <c r="H82" s="18" t="s">
        <v>165</v>
      </c>
    </row>
    <row r="83" spans="1:8" x14ac:dyDescent="0.25">
      <c r="A83" s="19">
        <v>1</v>
      </c>
      <c r="B83" s="19">
        <v>3</v>
      </c>
      <c r="C83" s="19">
        <v>1</v>
      </c>
      <c r="D83" s="20" t="s">
        <v>13</v>
      </c>
      <c r="E83" s="20" t="s">
        <v>21</v>
      </c>
      <c r="F83" s="20" t="s">
        <v>13</v>
      </c>
      <c r="G83" s="20" t="s">
        <v>17</v>
      </c>
      <c r="H83" s="21" t="s">
        <v>169</v>
      </c>
    </row>
    <row r="84" spans="1:8" x14ac:dyDescent="0.25">
      <c r="A84" s="19">
        <v>1</v>
      </c>
      <c r="B84" s="19">
        <v>3</v>
      </c>
      <c r="C84" s="19">
        <v>1</v>
      </c>
      <c r="D84" s="20" t="s">
        <v>13</v>
      </c>
      <c r="E84" s="20" t="s">
        <v>21</v>
      </c>
      <c r="F84" s="20" t="s">
        <v>13</v>
      </c>
      <c r="G84" s="20" t="s">
        <v>19</v>
      </c>
      <c r="H84" s="21" t="s">
        <v>173</v>
      </c>
    </row>
    <row r="85" spans="1:8" x14ac:dyDescent="0.25">
      <c r="A85" s="19">
        <v>1</v>
      </c>
      <c r="B85" s="19">
        <v>3</v>
      </c>
      <c r="C85" s="19">
        <v>1</v>
      </c>
      <c r="D85" s="20" t="s">
        <v>13</v>
      </c>
      <c r="E85" s="20" t="s">
        <v>21</v>
      </c>
      <c r="F85" s="20" t="s">
        <v>13</v>
      </c>
      <c r="G85" s="20" t="s">
        <v>22</v>
      </c>
      <c r="H85" s="21" t="s">
        <v>176</v>
      </c>
    </row>
    <row r="86" spans="1:8" x14ac:dyDescent="0.25">
      <c r="A86" s="19">
        <v>1</v>
      </c>
      <c r="B86" s="19">
        <v>3</v>
      </c>
      <c r="C86" s="19">
        <v>1</v>
      </c>
      <c r="D86" s="20" t="s">
        <v>13</v>
      </c>
      <c r="E86" s="20" t="s">
        <v>21</v>
      </c>
      <c r="F86" s="20" t="s">
        <v>13</v>
      </c>
      <c r="G86" s="20" t="s">
        <v>25</v>
      </c>
      <c r="H86" s="21" t="s">
        <v>181</v>
      </c>
    </row>
    <row r="87" spans="1:8" x14ac:dyDescent="0.25">
      <c r="A87" s="19">
        <v>1</v>
      </c>
      <c r="B87" s="19">
        <v>3</v>
      </c>
      <c r="C87" s="19">
        <v>1</v>
      </c>
      <c r="D87" s="20" t="s">
        <v>13</v>
      </c>
      <c r="E87" s="20" t="s">
        <v>21</v>
      </c>
      <c r="F87" s="20" t="s">
        <v>13</v>
      </c>
      <c r="G87" s="20" t="s">
        <v>28</v>
      </c>
      <c r="H87" s="21" t="s">
        <v>183</v>
      </c>
    </row>
    <row r="88" spans="1:8" x14ac:dyDescent="0.25">
      <c r="A88" s="19">
        <v>1</v>
      </c>
      <c r="B88" s="19">
        <v>3</v>
      </c>
      <c r="C88" s="19">
        <v>1</v>
      </c>
      <c r="D88" s="20" t="s">
        <v>13</v>
      </c>
      <c r="E88" s="20" t="s">
        <v>21</v>
      </c>
      <c r="F88" s="20" t="s">
        <v>13</v>
      </c>
      <c r="G88" s="20" t="s">
        <v>31</v>
      </c>
      <c r="H88" s="21" t="s">
        <v>184</v>
      </c>
    </row>
    <row r="89" spans="1:8" x14ac:dyDescent="0.25">
      <c r="A89" s="19">
        <v>1</v>
      </c>
      <c r="B89" s="19">
        <v>3</v>
      </c>
      <c r="C89" s="19">
        <v>1</v>
      </c>
      <c r="D89" s="20" t="s">
        <v>13</v>
      </c>
      <c r="E89" s="20" t="s">
        <v>21</v>
      </c>
      <c r="F89" s="20" t="s">
        <v>13</v>
      </c>
      <c r="G89" s="20" t="s">
        <v>34</v>
      </c>
      <c r="H89" s="21" t="s">
        <v>185</v>
      </c>
    </row>
    <row r="90" spans="1:8" x14ac:dyDescent="0.25">
      <c r="A90" s="19">
        <v>1</v>
      </c>
      <c r="B90" s="19">
        <v>3</v>
      </c>
      <c r="C90" s="19">
        <v>1</v>
      </c>
      <c r="D90" s="20" t="s">
        <v>13</v>
      </c>
      <c r="E90" s="20" t="s">
        <v>21</v>
      </c>
      <c r="F90" s="20" t="s">
        <v>13</v>
      </c>
      <c r="G90" s="20" t="s">
        <v>37</v>
      </c>
      <c r="H90" s="21" t="s">
        <v>186</v>
      </c>
    </row>
    <row r="91" spans="1:8" x14ac:dyDescent="0.25">
      <c r="A91" s="19">
        <v>1</v>
      </c>
      <c r="B91" s="19">
        <v>3</v>
      </c>
      <c r="C91" s="19">
        <v>1</v>
      </c>
      <c r="D91" s="20" t="s">
        <v>13</v>
      </c>
      <c r="E91" s="20" t="s">
        <v>21</v>
      </c>
      <c r="F91" s="20" t="s">
        <v>13</v>
      </c>
      <c r="G91" s="20" t="s">
        <v>40</v>
      </c>
      <c r="H91" s="21" t="s">
        <v>187</v>
      </c>
    </row>
    <row r="92" spans="1:8" x14ac:dyDescent="0.25">
      <c r="A92" s="19">
        <v>1</v>
      </c>
      <c r="B92" s="19">
        <v>3</v>
      </c>
      <c r="C92" s="19">
        <v>1</v>
      </c>
      <c r="D92" s="20" t="s">
        <v>13</v>
      </c>
      <c r="E92" s="20" t="s">
        <v>21</v>
      </c>
      <c r="F92" s="20" t="s">
        <v>21</v>
      </c>
      <c r="G92" s="20" t="s">
        <v>17</v>
      </c>
      <c r="H92" s="21" t="s">
        <v>189</v>
      </c>
    </row>
    <row r="93" spans="1:8" x14ac:dyDescent="0.25">
      <c r="A93" s="19">
        <v>1</v>
      </c>
      <c r="B93" s="19">
        <v>3</v>
      </c>
      <c r="C93" s="19">
        <v>1</v>
      </c>
      <c r="D93" s="20" t="s">
        <v>13</v>
      </c>
      <c r="E93" s="20" t="s">
        <v>21</v>
      </c>
      <c r="F93" s="20" t="s">
        <v>21</v>
      </c>
      <c r="G93" s="20" t="s">
        <v>19</v>
      </c>
      <c r="H93" s="21" t="s">
        <v>190</v>
      </c>
    </row>
    <row r="94" spans="1:8" x14ac:dyDescent="0.25">
      <c r="A94" s="19">
        <v>1</v>
      </c>
      <c r="B94" s="19">
        <v>3</v>
      </c>
      <c r="C94" s="19">
        <v>1</v>
      </c>
      <c r="D94" s="20" t="s">
        <v>13</v>
      </c>
      <c r="E94" s="20" t="s">
        <v>21</v>
      </c>
      <c r="F94" s="20" t="s">
        <v>21</v>
      </c>
      <c r="G94" s="20" t="s">
        <v>22</v>
      </c>
      <c r="H94" s="21" t="s">
        <v>191</v>
      </c>
    </row>
    <row r="95" spans="1:8" x14ac:dyDescent="0.25">
      <c r="A95" s="24">
        <v>1</v>
      </c>
      <c r="B95" s="24">
        <v>3</v>
      </c>
      <c r="C95" s="24">
        <v>1</v>
      </c>
      <c r="D95" s="25" t="s">
        <v>13</v>
      </c>
      <c r="E95" s="25" t="s">
        <v>21</v>
      </c>
      <c r="F95" s="25" t="s">
        <v>24</v>
      </c>
      <c r="G95" s="25" t="s">
        <v>17</v>
      </c>
      <c r="H95" s="26" t="s">
        <v>214</v>
      </c>
    </row>
    <row r="96" spans="1:8" x14ac:dyDescent="0.25">
      <c r="A96" s="24">
        <v>1</v>
      </c>
      <c r="B96" s="24">
        <v>3</v>
      </c>
      <c r="C96" s="24">
        <v>1</v>
      </c>
      <c r="D96" s="25" t="s">
        <v>13</v>
      </c>
      <c r="E96" s="25" t="s">
        <v>21</v>
      </c>
      <c r="F96" s="25" t="s">
        <v>24</v>
      </c>
      <c r="G96" s="25" t="s">
        <v>19</v>
      </c>
      <c r="H96" s="26" t="s">
        <v>215</v>
      </c>
    </row>
    <row r="97" spans="1:8" x14ac:dyDescent="0.25">
      <c r="A97" s="24">
        <v>1</v>
      </c>
      <c r="B97" s="24">
        <v>3</v>
      </c>
      <c r="C97" s="24">
        <v>1</v>
      </c>
      <c r="D97" s="25" t="s">
        <v>13</v>
      </c>
      <c r="E97" s="25" t="s">
        <v>21</v>
      </c>
      <c r="F97" s="25" t="s">
        <v>24</v>
      </c>
      <c r="G97" s="25" t="s">
        <v>22</v>
      </c>
      <c r="H97" s="26" t="s">
        <v>216</v>
      </c>
    </row>
    <row r="98" spans="1:8" x14ac:dyDescent="0.25">
      <c r="A98" s="24">
        <v>1</v>
      </c>
      <c r="B98" s="24">
        <v>3</v>
      </c>
      <c r="C98" s="24">
        <v>1</v>
      </c>
      <c r="D98" s="25" t="s">
        <v>13</v>
      </c>
      <c r="E98" s="25" t="s">
        <v>21</v>
      </c>
      <c r="F98" s="25" t="s">
        <v>27</v>
      </c>
      <c r="G98" s="25" t="s">
        <v>17</v>
      </c>
      <c r="H98" s="26" t="s">
        <v>219</v>
      </c>
    </row>
    <row r="99" spans="1:8" x14ac:dyDescent="0.25">
      <c r="A99" s="19">
        <v>1</v>
      </c>
      <c r="B99" s="19">
        <v>3</v>
      </c>
      <c r="C99" s="19">
        <v>1</v>
      </c>
      <c r="D99" s="20" t="s">
        <v>13</v>
      </c>
      <c r="E99" s="20" t="s">
        <v>21</v>
      </c>
      <c r="F99" s="20" t="s">
        <v>27</v>
      </c>
      <c r="G99" s="20" t="s">
        <v>19</v>
      </c>
      <c r="H99" s="21" t="s">
        <v>244</v>
      </c>
    </row>
    <row r="100" spans="1:8" x14ac:dyDescent="0.25">
      <c r="A100" s="19">
        <v>1</v>
      </c>
      <c r="B100" s="19">
        <v>3</v>
      </c>
      <c r="C100" s="19">
        <v>1</v>
      </c>
      <c r="D100" s="20" t="s">
        <v>13</v>
      </c>
      <c r="E100" s="20" t="s">
        <v>21</v>
      </c>
      <c r="F100" s="20" t="s">
        <v>27</v>
      </c>
      <c r="G100" s="20" t="s">
        <v>22</v>
      </c>
      <c r="H100" s="21" t="s">
        <v>246</v>
      </c>
    </row>
    <row r="101" spans="1:8" x14ac:dyDescent="0.25">
      <c r="A101" s="19">
        <v>1</v>
      </c>
      <c r="B101" s="19">
        <v>3</v>
      </c>
      <c r="C101" s="19">
        <v>1</v>
      </c>
      <c r="D101" s="20" t="s">
        <v>13</v>
      </c>
      <c r="E101" s="20" t="s">
        <v>21</v>
      </c>
      <c r="F101" s="20" t="s">
        <v>27</v>
      </c>
      <c r="G101" s="20" t="s">
        <v>25</v>
      </c>
      <c r="H101" s="21" t="s">
        <v>248</v>
      </c>
    </row>
    <row r="102" spans="1:8" x14ac:dyDescent="0.25">
      <c r="A102" s="19">
        <v>1</v>
      </c>
      <c r="B102" s="19">
        <v>3</v>
      </c>
      <c r="C102" s="19">
        <v>1</v>
      </c>
      <c r="D102" s="20" t="s">
        <v>13</v>
      </c>
      <c r="E102" s="20" t="s">
        <v>21</v>
      </c>
      <c r="F102" s="20" t="s">
        <v>27</v>
      </c>
      <c r="G102" s="20" t="s">
        <v>28</v>
      </c>
      <c r="H102" s="21" t="s">
        <v>250</v>
      </c>
    </row>
    <row r="103" spans="1:8" x14ac:dyDescent="0.25">
      <c r="A103" s="19">
        <v>1</v>
      </c>
      <c r="B103" s="19">
        <v>3</v>
      </c>
      <c r="C103" s="19">
        <v>1</v>
      </c>
      <c r="D103" s="20" t="s">
        <v>13</v>
      </c>
      <c r="E103" s="20" t="s">
        <v>21</v>
      </c>
      <c r="F103" s="20" t="s">
        <v>27</v>
      </c>
      <c r="G103" s="20" t="s">
        <v>31</v>
      </c>
      <c r="H103" s="21" t="s">
        <v>252</v>
      </c>
    </row>
    <row r="104" spans="1:8" x14ac:dyDescent="0.25">
      <c r="A104" s="19">
        <v>1</v>
      </c>
      <c r="B104" s="19">
        <v>3</v>
      </c>
      <c r="C104" s="19">
        <v>1</v>
      </c>
      <c r="D104" s="20" t="s">
        <v>13</v>
      </c>
      <c r="E104" s="20" t="s">
        <v>21</v>
      </c>
      <c r="F104" s="20" t="s">
        <v>27</v>
      </c>
      <c r="G104" s="20" t="s">
        <v>34</v>
      </c>
      <c r="H104" s="21" t="s">
        <v>254</v>
      </c>
    </row>
    <row r="105" spans="1:8" x14ac:dyDescent="0.25">
      <c r="A105" s="19">
        <v>1</v>
      </c>
      <c r="B105" s="19">
        <v>3</v>
      </c>
      <c r="C105" s="19">
        <v>1</v>
      </c>
      <c r="D105" s="20" t="s">
        <v>13</v>
      </c>
      <c r="E105" s="20" t="s">
        <v>21</v>
      </c>
      <c r="F105" s="20" t="s">
        <v>27</v>
      </c>
      <c r="G105" s="20" t="s">
        <v>37</v>
      </c>
      <c r="H105" s="21" t="s">
        <v>256</v>
      </c>
    </row>
    <row r="106" spans="1:8" x14ac:dyDescent="0.25">
      <c r="A106" s="24">
        <v>1</v>
      </c>
      <c r="B106" s="24">
        <v>3</v>
      </c>
      <c r="C106" s="24">
        <v>1</v>
      </c>
      <c r="D106" s="25" t="s">
        <v>13</v>
      </c>
      <c r="E106" s="25" t="s">
        <v>21</v>
      </c>
      <c r="F106" s="25" t="s">
        <v>27</v>
      </c>
      <c r="G106" s="25" t="s">
        <v>40</v>
      </c>
      <c r="H106" s="26" t="s">
        <v>258</v>
      </c>
    </row>
    <row r="107" spans="1:8" x14ac:dyDescent="0.25">
      <c r="A107" s="19">
        <v>1</v>
      </c>
      <c r="B107" s="19">
        <v>3</v>
      </c>
      <c r="C107" s="19">
        <v>1</v>
      </c>
      <c r="D107" s="20" t="s">
        <v>13</v>
      </c>
      <c r="E107" s="20" t="s">
        <v>21</v>
      </c>
      <c r="F107" s="20" t="s">
        <v>30</v>
      </c>
      <c r="G107" s="20" t="s">
        <v>17</v>
      </c>
      <c r="H107" s="21" t="s">
        <v>264</v>
      </c>
    </row>
    <row r="108" spans="1:8" x14ac:dyDescent="0.25">
      <c r="A108" s="19">
        <v>1</v>
      </c>
      <c r="B108" s="19">
        <v>3</v>
      </c>
      <c r="C108" s="19">
        <v>1</v>
      </c>
      <c r="D108" s="20" t="s">
        <v>13</v>
      </c>
      <c r="E108" s="20" t="s">
        <v>21</v>
      </c>
      <c r="F108" s="20" t="s">
        <v>30</v>
      </c>
      <c r="G108" s="20" t="s">
        <v>19</v>
      </c>
      <c r="H108" s="21" t="s">
        <v>266</v>
      </c>
    </row>
    <row r="109" spans="1:8" x14ac:dyDescent="0.25">
      <c r="A109" s="19">
        <v>1</v>
      </c>
      <c r="B109" s="19">
        <v>3</v>
      </c>
      <c r="C109" s="19">
        <v>1</v>
      </c>
      <c r="D109" s="20" t="s">
        <v>13</v>
      </c>
      <c r="E109" s="20" t="s">
        <v>21</v>
      </c>
      <c r="F109" s="20" t="s">
        <v>30</v>
      </c>
      <c r="G109" s="20" t="s">
        <v>22</v>
      </c>
      <c r="H109" s="21" t="s">
        <v>268</v>
      </c>
    </row>
    <row r="110" spans="1:8" x14ac:dyDescent="0.25">
      <c r="A110" s="19">
        <v>1</v>
      </c>
      <c r="B110" s="19">
        <v>3</v>
      </c>
      <c r="C110" s="19">
        <v>1</v>
      </c>
      <c r="D110" s="20" t="s">
        <v>13</v>
      </c>
      <c r="E110" s="20" t="s">
        <v>21</v>
      </c>
      <c r="F110" s="20" t="s">
        <v>30</v>
      </c>
      <c r="G110" s="20" t="s">
        <v>25</v>
      </c>
      <c r="H110" s="21" t="s">
        <v>270</v>
      </c>
    </row>
    <row r="111" spans="1:8" x14ac:dyDescent="0.25">
      <c r="A111" s="19">
        <v>1</v>
      </c>
      <c r="B111" s="19">
        <v>3</v>
      </c>
      <c r="C111" s="19">
        <v>1</v>
      </c>
      <c r="D111" s="20" t="s">
        <v>13</v>
      </c>
      <c r="E111" s="20" t="s">
        <v>21</v>
      </c>
      <c r="F111" s="20" t="s">
        <v>33</v>
      </c>
      <c r="G111" s="20" t="s">
        <v>17</v>
      </c>
      <c r="H111" s="21" t="s">
        <v>275</v>
      </c>
    </row>
    <row r="112" spans="1:8" x14ac:dyDescent="0.25">
      <c r="A112" s="19">
        <v>1</v>
      </c>
      <c r="B112" s="19">
        <v>3</v>
      </c>
      <c r="C112" s="19">
        <v>1</v>
      </c>
      <c r="D112" s="20" t="s">
        <v>13</v>
      </c>
      <c r="E112" s="20" t="s">
        <v>21</v>
      </c>
      <c r="F112" s="20" t="s">
        <v>33</v>
      </c>
      <c r="G112" s="20" t="s">
        <v>19</v>
      </c>
      <c r="H112" s="21" t="s">
        <v>277</v>
      </c>
    </row>
    <row r="113" spans="1:8" x14ac:dyDescent="0.25">
      <c r="A113" s="19">
        <v>1</v>
      </c>
      <c r="B113" s="19">
        <v>3</v>
      </c>
      <c r="C113" s="19">
        <v>1</v>
      </c>
      <c r="D113" s="20" t="s">
        <v>13</v>
      </c>
      <c r="E113" s="20" t="s">
        <v>21</v>
      </c>
      <c r="F113" s="20" t="s">
        <v>33</v>
      </c>
      <c r="G113" s="20" t="s">
        <v>22</v>
      </c>
      <c r="H113" s="21" t="s">
        <v>279</v>
      </c>
    </row>
    <row r="114" spans="1:8" x14ac:dyDescent="0.25">
      <c r="A114" s="24">
        <v>1</v>
      </c>
      <c r="B114" s="24">
        <v>3</v>
      </c>
      <c r="C114" s="24">
        <v>1</v>
      </c>
      <c r="D114" s="25" t="s">
        <v>13</v>
      </c>
      <c r="E114" s="25" t="s">
        <v>21</v>
      </c>
      <c r="F114" s="25" t="s">
        <v>36</v>
      </c>
      <c r="G114" s="25" t="s">
        <v>17</v>
      </c>
      <c r="H114" s="37" t="s">
        <v>284</v>
      </c>
    </row>
    <row r="115" spans="1:8" x14ac:dyDescent="0.25">
      <c r="A115" s="9">
        <v>1</v>
      </c>
      <c r="B115" s="9">
        <v>3</v>
      </c>
      <c r="C115" s="9">
        <v>1</v>
      </c>
      <c r="D115" s="10" t="s">
        <v>13</v>
      </c>
      <c r="E115" s="10" t="s">
        <v>21</v>
      </c>
      <c r="F115" s="10" t="s">
        <v>39</v>
      </c>
      <c r="G115" s="10" t="s">
        <v>17</v>
      </c>
      <c r="H115" s="38" t="s">
        <v>312</v>
      </c>
    </row>
    <row r="116" spans="1:8" x14ac:dyDescent="0.25">
      <c r="A116" s="9">
        <v>1</v>
      </c>
      <c r="B116" s="9">
        <v>3</v>
      </c>
      <c r="C116" s="9">
        <v>1</v>
      </c>
      <c r="D116" s="10" t="s">
        <v>13</v>
      </c>
      <c r="E116" s="10" t="s">
        <v>21</v>
      </c>
      <c r="F116" s="10" t="s">
        <v>39</v>
      </c>
      <c r="G116" s="10" t="s">
        <v>19</v>
      </c>
      <c r="H116" s="38" t="s">
        <v>313</v>
      </c>
    </row>
    <row r="117" spans="1:8" x14ac:dyDescent="0.25">
      <c r="A117" s="9">
        <v>1</v>
      </c>
      <c r="B117" s="9">
        <v>3</v>
      </c>
      <c r="C117" s="9">
        <v>1</v>
      </c>
      <c r="D117" s="10" t="s">
        <v>13</v>
      </c>
      <c r="E117" s="10" t="s">
        <v>21</v>
      </c>
      <c r="F117" s="10" t="s">
        <v>39</v>
      </c>
      <c r="G117" s="10" t="s">
        <v>22</v>
      </c>
      <c r="H117" s="38" t="s">
        <v>314</v>
      </c>
    </row>
    <row r="118" spans="1:8" x14ac:dyDescent="0.25">
      <c r="A118" s="9">
        <v>1</v>
      </c>
      <c r="B118" s="9">
        <v>3</v>
      </c>
      <c r="C118" s="9">
        <v>1</v>
      </c>
      <c r="D118" s="10" t="s">
        <v>13</v>
      </c>
      <c r="E118" s="10" t="s">
        <v>21</v>
      </c>
      <c r="F118" s="10" t="s">
        <v>39</v>
      </c>
      <c r="G118" s="10" t="s">
        <v>25</v>
      </c>
      <c r="H118" s="38" t="s">
        <v>315</v>
      </c>
    </row>
    <row r="119" spans="1:8" x14ac:dyDescent="0.25">
      <c r="A119" s="9">
        <v>1</v>
      </c>
      <c r="B119" s="9">
        <v>3</v>
      </c>
      <c r="C119" s="9">
        <v>1</v>
      </c>
      <c r="D119" s="10" t="s">
        <v>13</v>
      </c>
      <c r="E119" s="10" t="s">
        <v>21</v>
      </c>
      <c r="F119" s="10" t="s">
        <v>39</v>
      </c>
      <c r="G119" s="10" t="s">
        <v>28</v>
      </c>
      <c r="H119" s="38" t="s">
        <v>316</v>
      </c>
    </row>
    <row r="120" spans="1:8" x14ac:dyDescent="0.25">
      <c r="A120" s="9">
        <v>1</v>
      </c>
      <c r="B120" s="9">
        <v>3</v>
      </c>
      <c r="C120" s="9">
        <v>1</v>
      </c>
      <c r="D120" s="10" t="s">
        <v>13</v>
      </c>
      <c r="E120" s="10" t="s">
        <v>21</v>
      </c>
      <c r="F120" s="10" t="s">
        <v>39</v>
      </c>
      <c r="G120" s="10" t="s">
        <v>31</v>
      </c>
      <c r="H120" s="38" t="s">
        <v>317</v>
      </c>
    </row>
    <row r="121" spans="1:8" x14ac:dyDescent="0.25">
      <c r="A121" s="9">
        <v>1</v>
      </c>
      <c r="B121" s="9">
        <v>3</v>
      </c>
      <c r="C121" s="9">
        <v>1</v>
      </c>
      <c r="D121" s="10" t="s">
        <v>13</v>
      </c>
      <c r="E121" s="10" t="s">
        <v>21</v>
      </c>
      <c r="F121" s="10" t="s">
        <v>39</v>
      </c>
      <c r="G121" s="10" t="s">
        <v>34</v>
      </c>
      <c r="H121" s="38" t="s">
        <v>318</v>
      </c>
    </row>
    <row r="122" spans="1:8" x14ac:dyDescent="0.25">
      <c r="A122" s="9">
        <v>1</v>
      </c>
      <c r="B122" s="9">
        <v>3</v>
      </c>
      <c r="C122" s="9">
        <v>1</v>
      </c>
      <c r="D122" s="10" t="s">
        <v>13</v>
      </c>
      <c r="E122" s="10" t="s">
        <v>21</v>
      </c>
      <c r="F122" s="10" t="s">
        <v>39</v>
      </c>
      <c r="G122" s="10" t="s">
        <v>37</v>
      </c>
      <c r="H122" s="38" t="s">
        <v>319</v>
      </c>
    </row>
    <row r="123" spans="1:8" x14ac:dyDescent="0.25">
      <c r="A123" s="9">
        <v>1</v>
      </c>
      <c r="B123" s="9">
        <v>3</v>
      </c>
      <c r="C123" s="9">
        <v>1</v>
      </c>
      <c r="D123" s="10" t="s">
        <v>13</v>
      </c>
      <c r="E123" s="10" t="s">
        <v>21</v>
      </c>
      <c r="F123" s="10" t="s">
        <v>39</v>
      </c>
      <c r="G123" s="10" t="s">
        <v>40</v>
      </c>
      <c r="H123" s="38" t="s">
        <v>320</v>
      </c>
    </row>
    <row r="124" spans="1:8" x14ac:dyDescent="0.25">
      <c r="A124" s="9">
        <v>1</v>
      </c>
      <c r="B124" s="9">
        <v>3</v>
      </c>
      <c r="C124" s="9">
        <v>1</v>
      </c>
      <c r="D124" s="10" t="s">
        <v>13</v>
      </c>
      <c r="E124" s="10" t="s">
        <v>21</v>
      </c>
      <c r="F124" s="10" t="s">
        <v>39</v>
      </c>
      <c r="G124" s="10" t="s">
        <v>43</v>
      </c>
      <c r="H124" s="38" t="s">
        <v>321</v>
      </c>
    </row>
    <row r="125" spans="1:8" x14ac:dyDescent="0.25">
      <c r="A125" s="9">
        <v>1</v>
      </c>
      <c r="B125" s="9">
        <v>3</v>
      </c>
      <c r="C125" s="9">
        <v>1</v>
      </c>
      <c r="D125" s="10" t="s">
        <v>13</v>
      </c>
      <c r="E125" s="10" t="s">
        <v>21</v>
      </c>
      <c r="F125" s="10" t="s">
        <v>39</v>
      </c>
      <c r="G125" s="10" t="s">
        <v>46</v>
      </c>
      <c r="H125" s="38" t="s">
        <v>322</v>
      </c>
    </row>
    <row r="126" spans="1:8" x14ac:dyDescent="0.25">
      <c r="A126" s="9">
        <v>1</v>
      </c>
      <c r="B126" s="9">
        <v>3</v>
      </c>
      <c r="C126" s="9">
        <v>1</v>
      </c>
      <c r="D126" s="10" t="s">
        <v>13</v>
      </c>
      <c r="E126" s="10" t="s">
        <v>21</v>
      </c>
      <c r="F126" s="10" t="s">
        <v>39</v>
      </c>
      <c r="G126" s="10" t="s">
        <v>49</v>
      </c>
      <c r="H126" s="38" t="s">
        <v>323</v>
      </c>
    </row>
    <row r="127" spans="1:8" x14ac:dyDescent="0.25">
      <c r="A127" s="9">
        <v>1</v>
      </c>
      <c r="B127" s="9">
        <v>3</v>
      </c>
      <c r="C127" s="9">
        <v>1</v>
      </c>
      <c r="D127" s="10" t="s">
        <v>13</v>
      </c>
      <c r="E127" s="10" t="s">
        <v>24</v>
      </c>
      <c r="F127" s="10" t="s">
        <v>13</v>
      </c>
      <c r="G127" s="10" t="s">
        <v>17</v>
      </c>
      <c r="H127" s="18" t="s">
        <v>329</v>
      </c>
    </row>
    <row r="128" spans="1:8" x14ac:dyDescent="0.25">
      <c r="A128" s="9">
        <v>1</v>
      </c>
      <c r="B128" s="9">
        <v>3</v>
      </c>
      <c r="C128" s="9">
        <v>1</v>
      </c>
      <c r="D128" s="10" t="s">
        <v>13</v>
      </c>
      <c r="E128" s="10" t="s">
        <v>24</v>
      </c>
      <c r="F128" s="10" t="s">
        <v>13</v>
      </c>
      <c r="G128" s="10" t="s">
        <v>19</v>
      </c>
      <c r="H128" s="18" t="s">
        <v>330</v>
      </c>
    </row>
    <row r="129" spans="1:8" x14ac:dyDescent="0.25">
      <c r="A129" s="9">
        <v>1</v>
      </c>
      <c r="B129" s="9">
        <v>3</v>
      </c>
      <c r="C129" s="9">
        <v>1</v>
      </c>
      <c r="D129" s="10" t="s">
        <v>13</v>
      </c>
      <c r="E129" s="10" t="s">
        <v>24</v>
      </c>
      <c r="F129" s="10" t="s">
        <v>13</v>
      </c>
      <c r="G129" s="10" t="s">
        <v>22</v>
      </c>
      <c r="H129" s="18" t="s">
        <v>331</v>
      </c>
    </row>
    <row r="130" spans="1:8" x14ac:dyDescent="0.25">
      <c r="A130" s="9">
        <v>1</v>
      </c>
      <c r="B130" s="9">
        <v>3</v>
      </c>
      <c r="C130" s="9">
        <v>1</v>
      </c>
      <c r="D130" s="10" t="s">
        <v>13</v>
      </c>
      <c r="E130" s="10" t="s">
        <v>24</v>
      </c>
      <c r="F130" s="10" t="s">
        <v>13</v>
      </c>
      <c r="G130" s="10" t="s">
        <v>25</v>
      </c>
      <c r="H130" s="18" t="s">
        <v>332</v>
      </c>
    </row>
    <row r="131" spans="1:8" x14ac:dyDescent="0.25">
      <c r="A131" s="9">
        <v>1</v>
      </c>
      <c r="B131" s="9">
        <v>3</v>
      </c>
      <c r="C131" s="9">
        <v>1</v>
      </c>
      <c r="D131" s="10" t="s">
        <v>13</v>
      </c>
      <c r="E131" s="10" t="s">
        <v>24</v>
      </c>
      <c r="F131" s="10" t="s">
        <v>13</v>
      </c>
      <c r="G131" s="10" t="s">
        <v>28</v>
      </c>
      <c r="H131" s="18" t="s">
        <v>333</v>
      </c>
    </row>
    <row r="132" spans="1:8" x14ac:dyDescent="0.25">
      <c r="A132" s="9">
        <v>1</v>
      </c>
      <c r="B132" s="9">
        <v>3</v>
      </c>
      <c r="C132" s="9">
        <v>1</v>
      </c>
      <c r="D132" s="10" t="s">
        <v>13</v>
      </c>
      <c r="E132" s="10" t="s">
        <v>24</v>
      </c>
      <c r="F132" s="10" t="s">
        <v>13</v>
      </c>
      <c r="G132" s="10" t="s">
        <v>31</v>
      </c>
      <c r="H132" s="18" t="s">
        <v>334</v>
      </c>
    </row>
    <row r="133" spans="1:8" x14ac:dyDescent="0.25">
      <c r="A133" s="9">
        <v>1</v>
      </c>
      <c r="B133" s="9">
        <v>3</v>
      </c>
      <c r="C133" s="9">
        <v>1</v>
      </c>
      <c r="D133" s="10" t="s">
        <v>13</v>
      </c>
      <c r="E133" s="10" t="s">
        <v>24</v>
      </c>
      <c r="F133" s="10" t="s">
        <v>13</v>
      </c>
      <c r="G133" s="10" t="s">
        <v>34</v>
      </c>
      <c r="H133" s="18" t="s">
        <v>335</v>
      </c>
    </row>
    <row r="134" spans="1:8" x14ac:dyDescent="0.25">
      <c r="A134" s="9">
        <v>1</v>
      </c>
      <c r="B134" s="9">
        <v>3</v>
      </c>
      <c r="C134" s="9">
        <v>1</v>
      </c>
      <c r="D134" s="10" t="s">
        <v>13</v>
      </c>
      <c r="E134" s="10" t="s">
        <v>24</v>
      </c>
      <c r="F134" s="10" t="s">
        <v>13</v>
      </c>
      <c r="G134" s="10" t="s">
        <v>37</v>
      </c>
      <c r="H134" s="18" t="s">
        <v>336</v>
      </c>
    </row>
    <row r="135" spans="1:8" x14ac:dyDescent="0.25">
      <c r="A135" s="9">
        <v>1</v>
      </c>
      <c r="B135" s="9">
        <v>3</v>
      </c>
      <c r="C135" s="9">
        <v>1</v>
      </c>
      <c r="D135" s="10" t="s">
        <v>13</v>
      </c>
      <c r="E135" s="10" t="s">
        <v>24</v>
      </c>
      <c r="F135" s="10" t="s">
        <v>13</v>
      </c>
      <c r="G135" s="10" t="s">
        <v>40</v>
      </c>
      <c r="H135" s="18" t="s">
        <v>337</v>
      </c>
    </row>
    <row r="136" spans="1:8" x14ac:dyDescent="0.25">
      <c r="A136" s="9">
        <v>1</v>
      </c>
      <c r="B136" s="9">
        <v>3</v>
      </c>
      <c r="C136" s="9">
        <v>1</v>
      </c>
      <c r="D136" s="10" t="s">
        <v>13</v>
      </c>
      <c r="E136" s="10" t="s">
        <v>24</v>
      </c>
      <c r="F136" s="10" t="s">
        <v>13</v>
      </c>
      <c r="G136" s="10" t="s">
        <v>43</v>
      </c>
      <c r="H136" s="18" t="s">
        <v>338</v>
      </c>
    </row>
    <row r="137" spans="1:8" x14ac:dyDescent="0.25">
      <c r="A137" s="9">
        <v>1</v>
      </c>
      <c r="B137" s="9">
        <v>3</v>
      </c>
      <c r="C137" s="9">
        <v>1</v>
      </c>
      <c r="D137" s="10" t="s">
        <v>13</v>
      </c>
      <c r="E137" s="10" t="s">
        <v>24</v>
      </c>
      <c r="F137" s="10" t="s">
        <v>13</v>
      </c>
      <c r="G137" s="10" t="s">
        <v>46</v>
      </c>
      <c r="H137" s="18" t="s">
        <v>339</v>
      </c>
    </row>
    <row r="138" spans="1:8" x14ac:dyDescent="0.25">
      <c r="A138" s="24">
        <v>1</v>
      </c>
      <c r="B138" s="24">
        <v>3</v>
      </c>
      <c r="C138" s="24">
        <v>1</v>
      </c>
      <c r="D138" s="25" t="s">
        <v>13</v>
      </c>
      <c r="E138" s="25" t="s">
        <v>24</v>
      </c>
      <c r="F138" s="25" t="s">
        <v>13</v>
      </c>
      <c r="G138" s="25" t="s">
        <v>49</v>
      </c>
      <c r="H138" s="26" t="s">
        <v>340</v>
      </c>
    </row>
    <row r="139" spans="1:8" x14ac:dyDescent="0.25">
      <c r="A139" s="24">
        <v>1</v>
      </c>
      <c r="B139" s="24">
        <v>3</v>
      </c>
      <c r="C139" s="24">
        <v>1</v>
      </c>
      <c r="D139" s="25" t="s">
        <v>13</v>
      </c>
      <c r="E139" s="25" t="s">
        <v>24</v>
      </c>
      <c r="F139" s="25" t="s">
        <v>13</v>
      </c>
      <c r="G139" s="25" t="s">
        <v>66</v>
      </c>
      <c r="H139" s="26" t="s">
        <v>341</v>
      </c>
    </row>
    <row r="140" spans="1:8" x14ac:dyDescent="0.25">
      <c r="A140" s="24">
        <v>1</v>
      </c>
      <c r="B140" s="24">
        <v>3</v>
      </c>
      <c r="C140" s="24">
        <v>1</v>
      </c>
      <c r="D140" s="25" t="s">
        <v>13</v>
      </c>
      <c r="E140" s="25" t="s">
        <v>24</v>
      </c>
      <c r="F140" s="25" t="s">
        <v>13</v>
      </c>
      <c r="G140" s="25" t="s">
        <v>68</v>
      </c>
      <c r="H140" s="26" t="s">
        <v>342</v>
      </c>
    </row>
    <row r="141" spans="1:8" x14ac:dyDescent="0.25">
      <c r="A141" s="24">
        <v>1</v>
      </c>
      <c r="B141" s="24">
        <v>3</v>
      </c>
      <c r="C141" s="24">
        <v>1</v>
      </c>
      <c r="D141" s="25" t="s">
        <v>13</v>
      </c>
      <c r="E141" s="25" t="s">
        <v>24</v>
      </c>
      <c r="F141" s="25" t="s">
        <v>13</v>
      </c>
      <c r="G141" s="25" t="s">
        <v>71</v>
      </c>
      <c r="H141" s="26" t="s">
        <v>343</v>
      </c>
    </row>
    <row r="142" spans="1:8" x14ac:dyDescent="0.25">
      <c r="A142" s="24">
        <v>1</v>
      </c>
      <c r="B142" s="24">
        <v>3</v>
      </c>
      <c r="C142" s="24">
        <v>1</v>
      </c>
      <c r="D142" s="25" t="s">
        <v>13</v>
      </c>
      <c r="E142" s="25" t="s">
        <v>24</v>
      </c>
      <c r="F142" s="25" t="s">
        <v>13</v>
      </c>
      <c r="G142" s="25" t="s">
        <v>94</v>
      </c>
      <c r="H142" s="26" t="s">
        <v>344</v>
      </c>
    </row>
    <row r="143" spans="1:8" x14ac:dyDescent="0.25">
      <c r="A143" s="24">
        <v>1</v>
      </c>
      <c r="B143" s="24">
        <v>3</v>
      </c>
      <c r="C143" s="24">
        <v>1</v>
      </c>
      <c r="D143" s="25" t="s">
        <v>13</v>
      </c>
      <c r="E143" s="25" t="s">
        <v>24</v>
      </c>
      <c r="F143" s="25" t="s">
        <v>13</v>
      </c>
      <c r="G143" s="25" t="s">
        <v>96</v>
      </c>
      <c r="H143" s="26" t="s">
        <v>345</v>
      </c>
    </row>
    <row r="144" spans="1:8" x14ac:dyDescent="0.25">
      <c r="A144" s="24">
        <v>1</v>
      </c>
      <c r="B144" s="24">
        <v>3</v>
      </c>
      <c r="C144" s="24">
        <v>1</v>
      </c>
      <c r="D144" s="25" t="s">
        <v>13</v>
      </c>
      <c r="E144" s="25" t="s">
        <v>24</v>
      </c>
      <c r="F144" s="25" t="s">
        <v>13</v>
      </c>
      <c r="G144" s="25" t="s">
        <v>98</v>
      </c>
      <c r="H144" s="26" t="s">
        <v>346</v>
      </c>
    </row>
    <row r="145" spans="1:8" x14ac:dyDescent="0.25">
      <c r="A145" s="24">
        <v>1</v>
      </c>
      <c r="B145" s="24">
        <v>3</v>
      </c>
      <c r="C145" s="24">
        <v>1</v>
      </c>
      <c r="D145" s="25" t="s">
        <v>13</v>
      </c>
      <c r="E145" s="25" t="s">
        <v>24</v>
      </c>
      <c r="F145" s="25" t="s">
        <v>13</v>
      </c>
      <c r="G145" s="25" t="s">
        <v>100</v>
      </c>
      <c r="H145" s="26" t="s">
        <v>347</v>
      </c>
    </row>
    <row r="146" spans="1:8" x14ac:dyDescent="0.25">
      <c r="A146" s="24">
        <v>1</v>
      </c>
      <c r="B146" s="24">
        <v>3</v>
      </c>
      <c r="C146" s="24">
        <v>1</v>
      </c>
      <c r="D146" s="25" t="s">
        <v>13</v>
      </c>
      <c r="E146" s="25" t="s">
        <v>24</v>
      </c>
      <c r="F146" s="25" t="s">
        <v>13</v>
      </c>
      <c r="G146" s="25" t="s">
        <v>102</v>
      </c>
      <c r="H146" s="26" t="s">
        <v>348</v>
      </c>
    </row>
    <row r="147" spans="1:8" x14ac:dyDescent="0.25">
      <c r="A147" s="24">
        <v>1</v>
      </c>
      <c r="B147" s="24">
        <v>3</v>
      </c>
      <c r="C147" s="24">
        <v>1</v>
      </c>
      <c r="D147" s="25" t="s">
        <v>13</v>
      </c>
      <c r="E147" s="25" t="s">
        <v>24</v>
      </c>
      <c r="F147" s="25" t="s">
        <v>13</v>
      </c>
      <c r="G147" s="25" t="s">
        <v>104</v>
      </c>
      <c r="H147" s="26" t="s">
        <v>349</v>
      </c>
    </row>
    <row r="148" spans="1:8" x14ac:dyDescent="0.25">
      <c r="A148" s="24">
        <v>1</v>
      </c>
      <c r="B148" s="24">
        <v>3</v>
      </c>
      <c r="C148" s="24">
        <v>1</v>
      </c>
      <c r="D148" s="25" t="s">
        <v>13</v>
      </c>
      <c r="E148" s="25" t="s">
        <v>24</v>
      </c>
      <c r="F148" s="25" t="s">
        <v>13</v>
      </c>
      <c r="G148" s="25" t="s">
        <v>107</v>
      </c>
      <c r="H148" s="26" t="s">
        <v>350</v>
      </c>
    </row>
    <row r="149" spans="1:8" x14ac:dyDescent="0.25">
      <c r="A149" s="24">
        <v>1</v>
      </c>
      <c r="B149" s="24">
        <v>3</v>
      </c>
      <c r="C149" s="24">
        <v>1</v>
      </c>
      <c r="D149" s="25" t="s">
        <v>13</v>
      </c>
      <c r="E149" s="25" t="s">
        <v>24</v>
      </c>
      <c r="F149" s="25" t="s">
        <v>13</v>
      </c>
      <c r="G149" s="25" t="s">
        <v>110</v>
      </c>
      <c r="H149" s="26" t="s">
        <v>351</v>
      </c>
    </row>
    <row r="150" spans="1:8" x14ac:dyDescent="0.25">
      <c r="A150" s="24">
        <v>1</v>
      </c>
      <c r="B150" s="24">
        <v>3</v>
      </c>
      <c r="C150" s="24">
        <v>1</v>
      </c>
      <c r="D150" s="25" t="s">
        <v>13</v>
      </c>
      <c r="E150" s="25" t="s">
        <v>24</v>
      </c>
      <c r="F150" s="25" t="s">
        <v>13</v>
      </c>
      <c r="G150" s="25" t="s">
        <v>112</v>
      </c>
      <c r="H150" s="26" t="s">
        <v>352</v>
      </c>
    </row>
    <row r="151" spans="1:8" x14ac:dyDescent="0.25">
      <c r="A151" s="9">
        <v>1</v>
      </c>
      <c r="B151" s="9">
        <v>3</v>
      </c>
      <c r="C151" s="9">
        <v>1</v>
      </c>
      <c r="D151" s="10" t="s">
        <v>13</v>
      </c>
      <c r="E151" s="10" t="s">
        <v>24</v>
      </c>
      <c r="F151" s="10" t="s">
        <v>21</v>
      </c>
      <c r="G151" s="10" t="s">
        <v>17</v>
      </c>
      <c r="H151" s="18" t="s">
        <v>354</v>
      </c>
    </row>
    <row r="152" spans="1:8" x14ac:dyDescent="0.25">
      <c r="A152" s="9">
        <v>1</v>
      </c>
      <c r="B152" s="9">
        <v>3</v>
      </c>
      <c r="C152" s="9">
        <v>1</v>
      </c>
      <c r="D152" s="10" t="s">
        <v>13</v>
      </c>
      <c r="E152" s="10" t="s">
        <v>24</v>
      </c>
      <c r="F152" s="10" t="s">
        <v>21</v>
      </c>
      <c r="G152" s="10" t="s">
        <v>19</v>
      </c>
      <c r="H152" s="18" t="s">
        <v>355</v>
      </c>
    </row>
    <row r="153" spans="1:8" x14ac:dyDescent="0.25">
      <c r="A153" s="9">
        <v>1</v>
      </c>
      <c r="B153" s="9">
        <v>3</v>
      </c>
      <c r="C153" s="9">
        <v>1</v>
      </c>
      <c r="D153" s="10" t="s">
        <v>13</v>
      </c>
      <c r="E153" s="10" t="s">
        <v>24</v>
      </c>
      <c r="F153" s="10" t="s">
        <v>21</v>
      </c>
      <c r="G153" s="10" t="s">
        <v>22</v>
      </c>
      <c r="H153" s="18" t="s">
        <v>356</v>
      </c>
    </row>
    <row r="154" spans="1:8" x14ac:dyDescent="0.25">
      <c r="A154" s="9">
        <v>1</v>
      </c>
      <c r="B154" s="9">
        <v>3</v>
      </c>
      <c r="C154" s="9">
        <v>1</v>
      </c>
      <c r="D154" s="10" t="s">
        <v>13</v>
      </c>
      <c r="E154" s="10" t="s">
        <v>24</v>
      </c>
      <c r="F154" s="10" t="s">
        <v>21</v>
      </c>
      <c r="G154" s="10" t="s">
        <v>25</v>
      </c>
      <c r="H154" s="18" t="s">
        <v>357</v>
      </c>
    </row>
    <row r="155" spans="1:8" x14ac:dyDescent="0.25">
      <c r="A155" s="9">
        <v>1</v>
      </c>
      <c r="B155" s="9">
        <v>3</v>
      </c>
      <c r="C155" s="9">
        <v>1</v>
      </c>
      <c r="D155" s="10" t="s">
        <v>13</v>
      </c>
      <c r="E155" s="10" t="s">
        <v>24</v>
      </c>
      <c r="F155" s="10" t="s">
        <v>21</v>
      </c>
      <c r="G155" s="10" t="s">
        <v>28</v>
      </c>
      <c r="H155" s="18" t="s">
        <v>358</v>
      </c>
    </row>
    <row r="156" spans="1:8" x14ac:dyDescent="0.25">
      <c r="A156" s="24">
        <v>1</v>
      </c>
      <c r="B156" s="24">
        <v>3</v>
      </c>
      <c r="C156" s="24">
        <v>1</v>
      </c>
      <c r="D156" s="25" t="s">
        <v>13</v>
      </c>
      <c r="E156" s="25" t="s">
        <v>24</v>
      </c>
      <c r="F156" s="25" t="s">
        <v>21</v>
      </c>
      <c r="G156" s="25" t="s">
        <v>31</v>
      </c>
      <c r="H156" s="26" t="s">
        <v>359</v>
      </c>
    </row>
    <row r="157" spans="1:8" x14ac:dyDescent="0.25">
      <c r="A157" s="9">
        <v>1</v>
      </c>
      <c r="B157" s="9">
        <v>3</v>
      </c>
      <c r="C157" s="9">
        <v>1</v>
      </c>
      <c r="D157" s="10" t="s">
        <v>13</v>
      </c>
      <c r="E157" s="10" t="s">
        <v>24</v>
      </c>
      <c r="F157" s="10" t="s">
        <v>24</v>
      </c>
      <c r="G157" s="10" t="s">
        <v>17</v>
      </c>
      <c r="H157" s="18" t="s">
        <v>361</v>
      </c>
    </row>
    <row r="158" spans="1:8" x14ac:dyDescent="0.25">
      <c r="A158" s="9">
        <v>1</v>
      </c>
      <c r="B158" s="9">
        <v>3</v>
      </c>
      <c r="C158" s="9">
        <v>1</v>
      </c>
      <c r="D158" s="10" t="s">
        <v>13</v>
      </c>
      <c r="E158" s="10" t="s">
        <v>24</v>
      </c>
      <c r="F158" s="10" t="s">
        <v>24</v>
      </c>
      <c r="G158" s="10" t="s">
        <v>19</v>
      </c>
      <c r="H158" s="18" t="s">
        <v>362</v>
      </c>
    </row>
    <row r="159" spans="1:8" x14ac:dyDescent="0.25">
      <c r="A159" s="9">
        <v>1</v>
      </c>
      <c r="B159" s="9">
        <v>3</v>
      </c>
      <c r="C159" s="9">
        <v>1</v>
      </c>
      <c r="D159" s="10" t="s">
        <v>13</v>
      </c>
      <c r="E159" s="10" t="s">
        <v>24</v>
      </c>
      <c r="F159" s="10" t="s">
        <v>24</v>
      </c>
      <c r="G159" s="10" t="s">
        <v>22</v>
      </c>
      <c r="H159" s="18" t="s">
        <v>363</v>
      </c>
    </row>
    <row r="160" spans="1:8" x14ac:dyDescent="0.25">
      <c r="A160" s="9">
        <v>1</v>
      </c>
      <c r="B160" s="9">
        <v>3</v>
      </c>
      <c r="C160" s="9">
        <v>1</v>
      </c>
      <c r="D160" s="10" t="s">
        <v>13</v>
      </c>
      <c r="E160" s="10" t="s">
        <v>24</v>
      </c>
      <c r="F160" s="10" t="s">
        <v>24</v>
      </c>
      <c r="G160" s="10" t="s">
        <v>25</v>
      </c>
      <c r="H160" s="18" t="s">
        <v>364</v>
      </c>
    </row>
    <row r="161" spans="1:8" x14ac:dyDescent="0.25">
      <c r="A161" s="9">
        <v>1</v>
      </c>
      <c r="B161" s="9">
        <v>3</v>
      </c>
      <c r="C161" s="9">
        <v>1</v>
      </c>
      <c r="D161" s="10" t="s">
        <v>13</v>
      </c>
      <c r="E161" s="10" t="s">
        <v>24</v>
      </c>
      <c r="F161" s="10" t="s">
        <v>24</v>
      </c>
      <c r="G161" s="10" t="s">
        <v>28</v>
      </c>
      <c r="H161" s="18" t="s">
        <v>365</v>
      </c>
    </row>
    <row r="162" spans="1:8" x14ac:dyDescent="0.25">
      <c r="A162" s="24">
        <v>1</v>
      </c>
      <c r="B162" s="24">
        <v>3</v>
      </c>
      <c r="C162" s="24">
        <v>1</v>
      </c>
      <c r="D162" s="25" t="s">
        <v>13</v>
      </c>
      <c r="E162" s="25" t="s">
        <v>24</v>
      </c>
      <c r="F162" s="25" t="s">
        <v>24</v>
      </c>
      <c r="G162" s="25" t="s">
        <v>31</v>
      </c>
      <c r="H162" s="26" t="s">
        <v>366</v>
      </c>
    </row>
    <row r="163" spans="1:8" x14ac:dyDescent="0.25">
      <c r="A163" s="24">
        <v>1</v>
      </c>
      <c r="B163" s="24">
        <v>3</v>
      </c>
      <c r="C163" s="24">
        <v>1</v>
      </c>
      <c r="D163" s="25" t="s">
        <v>13</v>
      </c>
      <c r="E163" s="25" t="s">
        <v>24</v>
      </c>
      <c r="F163" s="25" t="s">
        <v>24</v>
      </c>
      <c r="G163" s="25" t="s">
        <v>34</v>
      </c>
      <c r="H163" s="26" t="s">
        <v>367</v>
      </c>
    </row>
    <row r="164" spans="1:8" x14ac:dyDescent="0.25">
      <c r="A164" s="24">
        <v>1</v>
      </c>
      <c r="B164" s="24">
        <v>3</v>
      </c>
      <c r="C164" s="24">
        <v>1</v>
      </c>
      <c r="D164" s="25" t="s">
        <v>13</v>
      </c>
      <c r="E164" s="25" t="s">
        <v>24</v>
      </c>
      <c r="F164" s="25" t="s">
        <v>24</v>
      </c>
      <c r="G164" s="25" t="s">
        <v>37</v>
      </c>
      <c r="H164" s="26" t="s">
        <v>368</v>
      </c>
    </row>
    <row r="165" spans="1:8" x14ac:dyDescent="0.25">
      <c r="A165" s="24">
        <v>1</v>
      </c>
      <c r="B165" s="24">
        <v>3</v>
      </c>
      <c r="C165" s="24">
        <v>1</v>
      </c>
      <c r="D165" s="25" t="s">
        <v>13</v>
      </c>
      <c r="E165" s="25" t="s">
        <v>24</v>
      </c>
      <c r="F165" s="25" t="s">
        <v>24</v>
      </c>
      <c r="G165" s="25" t="s">
        <v>40</v>
      </c>
      <c r="H165" s="26" t="s">
        <v>369</v>
      </c>
    </row>
    <row r="166" spans="1:8" x14ac:dyDescent="0.25">
      <c r="A166" s="9">
        <v>1</v>
      </c>
      <c r="B166" s="9">
        <v>3</v>
      </c>
      <c r="C166" s="9">
        <v>1</v>
      </c>
      <c r="D166" s="10" t="s">
        <v>13</v>
      </c>
      <c r="E166" s="10" t="s">
        <v>24</v>
      </c>
      <c r="F166" s="10" t="s">
        <v>27</v>
      </c>
      <c r="G166" s="10" t="s">
        <v>17</v>
      </c>
      <c r="H166" s="18" t="s">
        <v>371</v>
      </c>
    </row>
    <row r="167" spans="1:8" x14ac:dyDescent="0.25">
      <c r="A167" s="9">
        <v>1</v>
      </c>
      <c r="B167" s="9">
        <v>3</v>
      </c>
      <c r="C167" s="9">
        <v>1</v>
      </c>
      <c r="D167" s="10" t="s">
        <v>13</v>
      </c>
      <c r="E167" s="10" t="s">
        <v>24</v>
      </c>
      <c r="F167" s="10" t="s">
        <v>27</v>
      </c>
      <c r="G167" s="10" t="s">
        <v>19</v>
      </c>
      <c r="H167" s="18" t="s">
        <v>372</v>
      </c>
    </row>
    <row r="168" spans="1:8" x14ac:dyDescent="0.25">
      <c r="A168" s="9">
        <v>1</v>
      </c>
      <c r="B168" s="9">
        <v>3</v>
      </c>
      <c r="C168" s="9">
        <v>1</v>
      </c>
      <c r="D168" s="10" t="s">
        <v>13</v>
      </c>
      <c r="E168" s="10" t="s">
        <v>24</v>
      </c>
      <c r="F168" s="10" t="s">
        <v>30</v>
      </c>
      <c r="G168" s="10" t="s">
        <v>17</v>
      </c>
      <c r="H168" s="18" t="s">
        <v>375</v>
      </c>
    </row>
    <row r="169" spans="1:8" x14ac:dyDescent="0.25">
      <c r="A169" s="9">
        <v>1</v>
      </c>
      <c r="B169" s="9">
        <v>3</v>
      </c>
      <c r="C169" s="9">
        <v>1</v>
      </c>
      <c r="D169" s="10" t="s">
        <v>13</v>
      </c>
      <c r="E169" s="10" t="s">
        <v>24</v>
      </c>
      <c r="F169" s="10" t="s">
        <v>30</v>
      </c>
      <c r="G169" s="10" t="s">
        <v>19</v>
      </c>
      <c r="H169" s="18" t="s">
        <v>376</v>
      </c>
    </row>
    <row r="170" spans="1:8" x14ac:dyDescent="0.25">
      <c r="A170" s="9">
        <v>1</v>
      </c>
      <c r="B170" s="9">
        <v>3</v>
      </c>
      <c r="C170" s="9">
        <v>1</v>
      </c>
      <c r="D170" s="10" t="s">
        <v>13</v>
      </c>
      <c r="E170" s="10" t="s">
        <v>24</v>
      </c>
      <c r="F170" s="10" t="s">
        <v>33</v>
      </c>
      <c r="G170" s="10" t="s">
        <v>17</v>
      </c>
      <c r="H170" s="18" t="s">
        <v>379</v>
      </c>
    </row>
    <row r="171" spans="1:8" x14ac:dyDescent="0.25">
      <c r="A171" s="9">
        <v>1</v>
      </c>
      <c r="B171" s="9">
        <v>3</v>
      </c>
      <c r="C171" s="9">
        <v>1</v>
      </c>
      <c r="D171" s="10" t="s">
        <v>13</v>
      </c>
      <c r="E171" s="10" t="s">
        <v>24</v>
      </c>
      <c r="F171" s="10" t="s">
        <v>33</v>
      </c>
      <c r="G171" s="10" t="s">
        <v>19</v>
      </c>
      <c r="H171" s="18" t="s">
        <v>380</v>
      </c>
    </row>
    <row r="172" spans="1:8" x14ac:dyDescent="0.25">
      <c r="A172" s="9">
        <v>1</v>
      </c>
      <c r="B172" s="9">
        <v>3</v>
      </c>
      <c r="C172" s="9">
        <v>1</v>
      </c>
      <c r="D172" s="10" t="s">
        <v>13</v>
      </c>
      <c r="E172" s="10" t="s">
        <v>24</v>
      </c>
      <c r="F172" s="10" t="s">
        <v>33</v>
      </c>
      <c r="G172" s="10" t="s">
        <v>22</v>
      </c>
      <c r="H172" s="18" t="s">
        <v>381</v>
      </c>
    </row>
    <row r="173" spans="1:8" x14ac:dyDescent="0.25">
      <c r="A173" s="9">
        <v>1</v>
      </c>
      <c r="B173" s="9">
        <v>3</v>
      </c>
      <c r="C173" s="9">
        <v>1</v>
      </c>
      <c r="D173" s="10" t="s">
        <v>13</v>
      </c>
      <c r="E173" s="10" t="s">
        <v>24</v>
      </c>
      <c r="F173" s="10" t="s">
        <v>33</v>
      </c>
      <c r="G173" s="10" t="s">
        <v>25</v>
      </c>
      <c r="H173" s="18" t="s">
        <v>382</v>
      </c>
    </row>
    <row r="174" spans="1:8" x14ac:dyDescent="0.25">
      <c r="A174" s="9">
        <v>1</v>
      </c>
      <c r="B174" s="9">
        <v>3</v>
      </c>
      <c r="C174" s="9">
        <v>1</v>
      </c>
      <c r="D174" s="10" t="s">
        <v>13</v>
      </c>
      <c r="E174" s="10" t="s">
        <v>24</v>
      </c>
      <c r="F174" s="10" t="s">
        <v>33</v>
      </c>
      <c r="G174" s="10" t="s">
        <v>28</v>
      </c>
      <c r="H174" s="18" t="s">
        <v>383</v>
      </c>
    </row>
    <row r="175" spans="1:8" x14ac:dyDescent="0.25">
      <c r="A175" s="24">
        <v>1</v>
      </c>
      <c r="B175" s="24">
        <v>3</v>
      </c>
      <c r="C175" s="24">
        <v>1</v>
      </c>
      <c r="D175" s="25" t="s">
        <v>13</v>
      </c>
      <c r="E175" s="25" t="s">
        <v>24</v>
      </c>
      <c r="F175" s="25" t="s">
        <v>33</v>
      </c>
      <c r="G175" s="25" t="s">
        <v>31</v>
      </c>
      <c r="H175" s="26" t="s">
        <v>384</v>
      </c>
    </row>
    <row r="176" spans="1:8" x14ac:dyDescent="0.25">
      <c r="A176" s="24">
        <v>1</v>
      </c>
      <c r="B176" s="24">
        <v>3</v>
      </c>
      <c r="C176" s="24">
        <v>1</v>
      </c>
      <c r="D176" s="25" t="s">
        <v>13</v>
      </c>
      <c r="E176" s="25" t="s">
        <v>24</v>
      </c>
      <c r="F176" s="25" t="s">
        <v>33</v>
      </c>
      <c r="G176" s="25" t="s">
        <v>34</v>
      </c>
      <c r="H176" s="26" t="s">
        <v>385</v>
      </c>
    </row>
    <row r="177" spans="1:8" x14ac:dyDescent="0.25">
      <c r="A177" s="9">
        <v>1</v>
      </c>
      <c r="B177" s="9">
        <v>3</v>
      </c>
      <c r="C177" s="9">
        <v>1</v>
      </c>
      <c r="D177" s="10" t="s">
        <v>13</v>
      </c>
      <c r="E177" s="10" t="s">
        <v>24</v>
      </c>
      <c r="F177" s="10" t="s">
        <v>36</v>
      </c>
      <c r="G177" s="10" t="s">
        <v>17</v>
      </c>
      <c r="H177" s="18" t="s">
        <v>389</v>
      </c>
    </row>
    <row r="178" spans="1:8" x14ac:dyDescent="0.25">
      <c r="A178" s="9">
        <v>1</v>
      </c>
      <c r="B178" s="9">
        <v>3</v>
      </c>
      <c r="C178" s="9">
        <v>1</v>
      </c>
      <c r="D178" s="10" t="s">
        <v>13</v>
      </c>
      <c r="E178" s="10" t="s">
        <v>24</v>
      </c>
      <c r="F178" s="10" t="s">
        <v>36</v>
      </c>
      <c r="G178" s="10" t="s">
        <v>19</v>
      </c>
      <c r="H178" s="18" t="s">
        <v>390</v>
      </c>
    </row>
    <row r="179" spans="1:8" x14ac:dyDescent="0.25">
      <c r="A179" s="9">
        <v>1</v>
      </c>
      <c r="B179" s="9">
        <v>3</v>
      </c>
      <c r="C179" s="9">
        <v>1</v>
      </c>
      <c r="D179" s="10" t="s">
        <v>13</v>
      </c>
      <c r="E179" s="10" t="s">
        <v>24</v>
      </c>
      <c r="F179" s="10" t="s">
        <v>36</v>
      </c>
      <c r="G179" s="10" t="s">
        <v>22</v>
      </c>
      <c r="H179" s="18" t="s">
        <v>391</v>
      </c>
    </row>
    <row r="180" spans="1:8" x14ac:dyDescent="0.25">
      <c r="A180" s="9">
        <v>1</v>
      </c>
      <c r="B180" s="9">
        <v>3</v>
      </c>
      <c r="C180" s="9">
        <v>1</v>
      </c>
      <c r="D180" s="10" t="s">
        <v>13</v>
      </c>
      <c r="E180" s="10" t="s">
        <v>24</v>
      </c>
      <c r="F180" s="10" t="s">
        <v>36</v>
      </c>
      <c r="G180" s="10" t="s">
        <v>25</v>
      </c>
      <c r="H180" s="18" t="s">
        <v>392</v>
      </c>
    </row>
    <row r="181" spans="1:8" x14ac:dyDescent="0.25">
      <c r="A181" s="9">
        <v>1</v>
      </c>
      <c r="B181" s="9">
        <v>3</v>
      </c>
      <c r="C181" s="9">
        <v>1</v>
      </c>
      <c r="D181" s="10" t="s">
        <v>13</v>
      </c>
      <c r="E181" s="10" t="s">
        <v>24</v>
      </c>
      <c r="F181" s="10" t="s">
        <v>36</v>
      </c>
      <c r="G181" s="10" t="s">
        <v>28</v>
      </c>
      <c r="H181" s="18" t="s">
        <v>393</v>
      </c>
    </row>
    <row r="182" spans="1:8" x14ac:dyDescent="0.25">
      <c r="A182" s="9">
        <v>1</v>
      </c>
      <c r="B182" s="9">
        <v>3</v>
      </c>
      <c r="C182" s="9">
        <v>1</v>
      </c>
      <c r="D182" s="10" t="s">
        <v>13</v>
      </c>
      <c r="E182" s="10" t="s">
        <v>24</v>
      </c>
      <c r="F182" s="10" t="s">
        <v>36</v>
      </c>
      <c r="G182" s="10" t="s">
        <v>31</v>
      </c>
      <c r="H182" s="18" t="s">
        <v>394</v>
      </c>
    </row>
    <row r="183" spans="1:8" x14ac:dyDescent="0.25">
      <c r="A183" s="9">
        <v>1</v>
      </c>
      <c r="B183" s="9">
        <v>3</v>
      </c>
      <c r="C183" s="9">
        <v>1</v>
      </c>
      <c r="D183" s="10" t="s">
        <v>13</v>
      </c>
      <c r="E183" s="10" t="s">
        <v>24</v>
      </c>
      <c r="F183" s="10" t="s">
        <v>36</v>
      </c>
      <c r="G183" s="10" t="s">
        <v>34</v>
      </c>
      <c r="H183" s="18" t="s">
        <v>395</v>
      </c>
    </row>
    <row r="184" spans="1:8" x14ac:dyDescent="0.25">
      <c r="A184" s="9">
        <v>1</v>
      </c>
      <c r="B184" s="9">
        <v>3</v>
      </c>
      <c r="C184" s="9">
        <v>1</v>
      </c>
      <c r="D184" s="10" t="s">
        <v>13</v>
      </c>
      <c r="E184" s="10" t="s">
        <v>24</v>
      </c>
      <c r="F184" s="10" t="s">
        <v>36</v>
      </c>
      <c r="G184" s="10" t="s">
        <v>37</v>
      </c>
      <c r="H184" s="18" t="s">
        <v>396</v>
      </c>
    </row>
    <row r="185" spans="1:8" x14ac:dyDescent="0.25">
      <c r="A185" s="9">
        <v>1</v>
      </c>
      <c r="B185" s="9">
        <v>3</v>
      </c>
      <c r="C185" s="9">
        <v>1</v>
      </c>
      <c r="D185" s="10" t="s">
        <v>13</v>
      </c>
      <c r="E185" s="10" t="s">
        <v>24</v>
      </c>
      <c r="F185" s="10" t="s">
        <v>36</v>
      </c>
      <c r="G185" s="10" t="s">
        <v>40</v>
      </c>
      <c r="H185" s="18" t="s">
        <v>397</v>
      </c>
    </row>
    <row r="186" spans="1:8" x14ac:dyDescent="0.25">
      <c r="A186" s="24">
        <v>1</v>
      </c>
      <c r="B186" s="24">
        <v>3</v>
      </c>
      <c r="C186" s="24">
        <v>1</v>
      </c>
      <c r="D186" s="25" t="s">
        <v>13</v>
      </c>
      <c r="E186" s="25" t="s">
        <v>24</v>
      </c>
      <c r="F186" s="25" t="s">
        <v>36</v>
      </c>
      <c r="G186" s="25" t="s">
        <v>43</v>
      </c>
      <c r="H186" s="26" t="s">
        <v>398</v>
      </c>
    </row>
    <row r="187" spans="1:8" x14ac:dyDescent="0.25">
      <c r="A187" s="9">
        <v>1</v>
      </c>
      <c r="B187" s="9">
        <v>3</v>
      </c>
      <c r="C187" s="9">
        <v>1</v>
      </c>
      <c r="D187" s="10" t="s">
        <v>13</v>
      </c>
      <c r="E187" s="10" t="s">
        <v>24</v>
      </c>
      <c r="F187" s="10" t="s">
        <v>39</v>
      </c>
      <c r="G187" s="10" t="s">
        <v>17</v>
      </c>
      <c r="H187" s="18" t="s">
        <v>400</v>
      </c>
    </row>
    <row r="188" spans="1:8" x14ac:dyDescent="0.25">
      <c r="A188" s="9">
        <v>1</v>
      </c>
      <c r="B188" s="9">
        <v>3</v>
      </c>
      <c r="C188" s="9">
        <v>1</v>
      </c>
      <c r="D188" s="10" t="s">
        <v>13</v>
      </c>
      <c r="E188" s="10" t="s">
        <v>24</v>
      </c>
      <c r="F188" s="10" t="s">
        <v>39</v>
      </c>
      <c r="G188" s="10" t="s">
        <v>19</v>
      </c>
      <c r="H188" s="18" t="s">
        <v>401</v>
      </c>
    </row>
    <row r="189" spans="1:8" x14ac:dyDescent="0.25">
      <c r="A189" s="9">
        <v>1</v>
      </c>
      <c r="B189" s="9">
        <v>3</v>
      </c>
      <c r="C189" s="9">
        <v>1</v>
      </c>
      <c r="D189" s="10" t="s">
        <v>13</v>
      </c>
      <c r="E189" s="10" t="s">
        <v>24</v>
      </c>
      <c r="F189" s="10" t="s">
        <v>39</v>
      </c>
      <c r="G189" s="10" t="s">
        <v>22</v>
      </c>
      <c r="H189" s="18" t="s">
        <v>402</v>
      </c>
    </row>
    <row r="190" spans="1:8" x14ac:dyDescent="0.25">
      <c r="A190" s="9">
        <v>1</v>
      </c>
      <c r="B190" s="9">
        <v>3</v>
      </c>
      <c r="C190" s="9">
        <v>1</v>
      </c>
      <c r="D190" s="10" t="s">
        <v>13</v>
      </c>
      <c r="E190" s="10" t="s">
        <v>24</v>
      </c>
      <c r="F190" s="10" t="s">
        <v>39</v>
      </c>
      <c r="G190" s="10" t="s">
        <v>25</v>
      </c>
      <c r="H190" s="18" t="s">
        <v>403</v>
      </c>
    </row>
    <row r="191" spans="1:8" x14ac:dyDescent="0.25">
      <c r="A191" s="9">
        <v>1</v>
      </c>
      <c r="B191" s="9">
        <v>3</v>
      </c>
      <c r="C191" s="9">
        <v>1</v>
      </c>
      <c r="D191" s="10" t="s">
        <v>13</v>
      </c>
      <c r="E191" s="10" t="s">
        <v>24</v>
      </c>
      <c r="F191" s="10" t="s">
        <v>39</v>
      </c>
      <c r="G191" s="10" t="s">
        <v>28</v>
      </c>
      <c r="H191" s="18" t="s">
        <v>404</v>
      </c>
    </row>
    <row r="192" spans="1:8" x14ac:dyDescent="0.25">
      <c r="A192" s="9">
        <v>1</v>
      </c>
      <c r="B192" s="9">
        <v>3</v>
      </c>
      <c r="C192" s="9">
        <v>1</v>
      </c>
      <c r="D192" s="10" t="s">
        <v>13</v>
      </c>
      <c r="E192" s="10" t="s">
        <v>24</v>
      </c>
      <c r="F192" s="10" t="s">
        <v>39</v>
      </c>
      <c r="G192" s="10" t="s">
        <v>31</v>
      </c>
      <c r="H192" s="18" t="s">
        <v>405</v>
      </c>
    </row>
    <row r="193" spans="1:8" x14ac:dyDescent="0.25">
      <c r="A193" s="9">
        <v>1</v>
      </c>
      <c r="B193" s="9">
        <v>3</v>
      </c>
      <c r="C193" s="9">
        <v>1</v>
      </c>
      <c r="D193" s="10" t="s">
        <v>13</v>
      </c>
      <c r="E193" s="10" t="s">
        <v>24</v>
      </c>
      <c r="F193" s="10" t="s">
        <v>39</v>
      </c>
      <c r="G193" s="10" t="s">
        <v>34</v>
      </c>
      <c r="H193" s="18" t="s">
        <v>406</v>
      </c>
    </row>
    <row r="194" spans="1:8" x14ac:dyDescent="0.25">
      <c r="A194" s="24">
        <v>1</v>
      </c>
      <c r="B194" s="24">
        <v>3</v>
      </c>
      <c r="C194" s="24">
        <v>1</v>
      </c>
      <c r="D194" s="25" t="s">
        <v>13</v>
      </c>
      <c r="E194" s="25" t="s">
        <v>24</v>
      </c>
      <c r="F194" s="25" t="s">
        <v>39</v>
      </c>
      <c r="G194" s="25" t="s">
        <v>37</v>
      </c>
      <c r="H194" s="26" t="s">
        <v>407</v>
      </c>
    </row>
    <row r="195" spans="1:8" x14ac:dyDescent="0.25">
      <c r="A195" s="9">
        <v>1</v>
      </c>
      <c r="B195" s="9">
        <v>3</v>
      </c>
      <c r="C195" s="9">
        <v>1</v>
      </c>
      <c r="D195" s="10" t="s">
        <v>13</v>
      </c>
      <c r="E195" s="10" t="s">
        <v>24</v>
      </c>
      <c r="F195" s="10" t="s">
        <v>42</v>
      </c>
      <c r="G195" s="10" t="s">
        <v>17</v>
      </c>
      <c r="H195" s="18" t="s">
        <v>410</v>
      </c>
    </row>
    <row r="196" spans="1:8" x14ac:dyDescent="0.25">
      <c r="A196" s="9">
        <v>1</v>
      </c>
      <c r="B196" s="9">
        <v>3</v>
      </c>
      <c r="C196" s="9">
        <v>1</v>
      </c>
      <c r="D196" s="10" t="s">
        <v>13</v>
      </c>
      <c r="E196" s="10" t="s">
        <v>24</v>
      </c>
      <c r="F196" s="10" t="s">
        <v>42</v>
      </c>
      <c r="G196" s="10" t="s">
        <v>19</v>
      </c>
      <c r="H196" s="18" t="s">
        <v>412</v>
      </c>
    </row>
    <row r="197" spans="1:8" x14ac:dyDescent="0.25">
      <c r="A197" s="9">
        <v>1</v>
      </c>
      <c r="B197" s="9">
        <v>3</v>
      </c>
      <c r="C197" s="9">
        <v>1</v>
      </c>
      <c r="D197" s="10" t="s">
        <v>13</v>
      </c>
      <c r="E197" s="10" t="s">
        <v>24</v>
      </c>
      <c r="F197" s="10" t="s">
        <v>42</v>
      </c>
      <c r="G197" s="10" t="s">
        <v>22</v>
      </c>
      <c r="H197" s="18" t="s">
        <v>414</v>
      </c>
    </row>
    <row r="198" spans="1:8" x14ac:dyDescent="0.25">
      <c r="A198" s="9">
        <v>1</v>
      </c>
      <c r="B198" s="9">
        <v>3</v>
      </c>
      <c r="C198" s="9">
        <v>1</v>
      </c>
      <c r="D198" s="10" t="s">
        <v>13</v>
      </c>
      <c r="E198" s="10" t="s">
        <v>24</v>
      </c>
      <c r="F198" s="10" t="s">
        <v>42</v>
      </c>
      <c r="G198" s="10" t="s">
        <v>25</v>
      </c>
      <c r="H198" s="18" t="s">
        <v>415</v>
      </c>
    </row>
    <row r="199" spans="1:8" x14ac:dyDescent="0.25">
      <c r="A199" s="9">
        <v>1</v>
      </c>
      <c r="B199" s="9">
        <v>3</v>
      </c>
      <c r="C199" s="9">
        <v>1</v>
      </c>
      <c r="D199" s="10" t="s">
        <v>13</v>
      </c>
      <c r="E199" s="10" t="s">
        <v>24</v>
      </c>
      <c r="F199" s="10" t="s">
        <v>42</v>
      </c>
      <c r="G199" s="10" t="s">
        <v>28</v>
      </c>
      <c r="H199" s="18" t="s">
        <v>416</v>
      </c>
    </row>
    <row r="200" spans="1:8" x14ac:dyDescent="0.25">
      <c r="A200" s="9">
        <v>1</v>
      </c>
      <c r="B200" s="9">
        <v>3</v>
      </c>
      <c r="C200" s="9">
        <v>1</v>
      </c>
      <c r="D200" s="10" t="s">
        <v>13</v>
      </c>
      <c r="E200" s="10" t="s">
        <v>24</v>
      </c>
      <c r="F200" s="10" t="s">
        <v>42</v>
      </c>
      <c r="G200" s="10" t="s">
        <v>31</v>
      </c>
      <c r="H200" s="18" t="s">
        <v>417</v>
      </c>
    </row>
    <row r="201" spans="1:8" x14ac:dyDescent="0.25">
      <c r="A201" s="19">
        <v>1</v>
      </c>
      <c r="B201" s="19">
        <v>3</v>
      </c>
      <c r="C201" s="19">
        <v>1</v>
      </c>
      <c r="D201" s="20" t="s">
        <v>13</v>
      </c>
      <c r="E201" s="20" t="s">
        <v>24</v>
      </c>
      <c r="F201" s="20" t="s">
        <v>42</v>
      </c>
      <c r="G201" s="20" t="s">
        <v>34</v>
      </c>
      <c r="H201" s="21" t="s">
        <v>418</v>
      </c>
    </row>
    <row r="202" spans="1:8" x14ac:dyDescent="0.25">
      <c r="A202" s="24">
        <v>1</v>
      </c>
      <c r="B202" s="24">
        <v>3</v>
      </c>
      <c r="C202" s="24">
        <v>1</v>
      </c>
      <c r="D202" s="25" t="s">
        <v>13</v>
      </c>
      <c r="E202" s="25" t="s">
        <v>24</v>
      </c>
      <c r="F202" s="25" t="s">
        <v>42</v>
      </c>
      <c r="G202" s="25" t="s">
        <v>37</v>
      </c>
      <c r="H202" s="26" t="s">
        <v>420</v>
      </c>
    </row>
    <row r="203" spans="1:8" x14ac:dyDescent="0.25">
      <c r="A203" s="9">
        <v>1</v>
      </c>
      <c r="B203" s="9">
        <v>3</v>
      </c>
      <c r="C203" s="9">
        <v>1</v>
      </c>
      <c r="D203" s="10" t="s">
        <v>13</v>
      </c>
      <c r="E203" s="10" t="s">
        <v>24</v>
      </c>
      <c r="F203" s="10">
        <v>10</v>
      </c>
      <c r="G203" s="10" t="s">
        <v>17</v>
      </c>
      <c r="H203" s="18" t="s">
        <v>422</v>
      </c>
    </row>
    <row r="204" spans="1:8" x14ac:dyDescent="0.25">
      <c r="A204" s="9">
        <v>1</v>
      </c>
      <c r="B204" s="9">
        <v>3</v>
      </c>
      <c r="C204" s="9">
        <v>1</v>
      </c>
      <c r="D204" s="10" t="s">
        <v>13</v>
      </c>
      <c r="E204" s="10" t="s">
        <v>24</v>
      </c>
      <c r="F204" s="10">
        <v>10</v>
      </c>
      <c r="G204" s="10" t="s">
        <v>19</v>
      </c>
      <c r="H204" s="18" t="s">
        <v>423</v>
      </c>
    </row>
    <row r="205" spans="1:8" x14ac:dyDescent="0.25">
      <c r="A205" s="9">
        <v>1</v>
      </c>
      <c r="B205" s="9">
        <v>3</v>
      </c>
      <c r="C205" s="9">
        <v>1</v>
      </c>
      <c r="D205" s="10" t="s">
        <v>13</v>
      </c>
      <c r="E205" s="10" t="s">
        <v>24</v>
      </c>
      <c r="F205" s="10">
        <v>10</v>
      </c>
      <c r="G205" s="10" t="s">
        <v>22</v>
      </c>
      <c r="H205" s="18" t="s">
        <v>424</v>
      </c>
    </row>
    <row r="206" spans="1:8" x14ac:dyDescent="0.25">
      <c r="A206" s="9">
        <v>1</v>
      </c>
      <c r="B206" s="9">
        <v>3</v>
      </c>
      <c r="C206" s="9">
        <v>1</v>
      </c>
      <c r="D206" s="10" t="s">
        <v>13</v>
      </c>
      <c r="E206" s="10" t="s">
        <v>24</v>
      </c>
      <c r="F206" s="10">
        <v>10</v>
      </c>
      <c r="G206" s="10" t="s">
        <v>25</v>
      </c>
      <c r="H206" s="18" t="s">
        <v>425</v>
      </c>
    </row>
    <row r="207" spans="1:8" x14ac:dyDescent="0.25">
      <c r="A207" s="9">
        <v>1</v>
      </c>
      <c r="B207" s="9">
        <v>3</v>
      </c>
      <c r="C207" s="9">
        <v>1</v>
      </c>
      <c r="D207" s="10" t="s">
        <v>13</v>
      </c>
      <c r="E207" s="10" t="s">
        <v>24</v>
      </c>
      <c r="F207" s="10">
        <v>11</v>
      </c>
      <c r="G207" s="10" t="s">
        <v>17</v>
      </c>
      <c r="H207" s="18" t="s">
        <v>427</v>
      </c>
    </row>
    <row r="208" spans="1:8" x14ac:dyDescent="0.25">
      <c r="A208" s="9">
        <v>1</v>
      </c>
      <c r="B208" s="9">
        <v>3</v>
      </c>
      <c r="C208" s="9">
        <v>1</v>
      </c>
      <c r="D208" s="10" t="s">
        <v>13</v>
      </c>
      <c r="E208" s="10" t="s">
        <v>24</v>
      </c>
      <c r="F208" s="10">
        <v>11</v>
      </c>
      <c r="G208" s="10" t="s">
        <v>19</v>
      </c>
      <c r="H208" s="18" t="s">
        <v>428</v>
      </c>
    </row>
    <row r="209" spans="1:8" x14ac:dyDescent="0.25">
      <c r="A209" s="9">
        <v>1</v>
      </c>
      <c r="B209" s="9">
        <v>3</v>
      </c>
      <c r="C209" s="9">
        <v>1</v>
      </c>
      <c r="D209" s="10" t="s">
        <v>13</v>
      </c>
      <c r="E209" s="10" t="s">
        <v>24</v>
      </c>
      <c r="F209" s="10">
        <v>11</v>
      </c>
      <c r="G209" s="10" t="s">
        <v>22</v>
      </c>
      <c r="H209" s="18" t="s">
        <v>429</v>
      </c>
    </row>
    <row r="210" spans="1:8" x14ac:dyDescent="0.25">
      <c r="A210" s="9">
        <v>1</v>
      </c>
      <c r="B210" s="9">
        <v>3</v>
      </c>
      <c r="C210" s="9">
        <v>1</v>
      </c>
      <c r="D210" s="10" t="s">
        <v>13</v>
      </c>
      <c r="E210" s="10" t="s">
        <v>24</v>
      </c>
      <c r="F210" s="10">
        <v>11</v>
      </c>
      <c r="G210" s="10" t="s">
        <v>25</v>
      </c>
      <c r="H210" s="18" t="s">
        <v>430</v>
      </c>
    </row>
    <row r="211" spans="1:8" x14ac:dyDescent="0.25">
      <c r="A211" s="9">
        <v>1</v>
      </c>
      <c r="B211" s="9">
        <v>3</v>
      </c>
      <c r="C211" s="9">
        <v>1</v>
      </c>
      <c r="D211" s="10" t="s">
        <v>13</v>
      </c>
      <c r="E211" s="10" t="s">
        <v>24</v>
      </c>
      <c r="F211" s="10">
        <v>11</v>
      </c>
      <c r="G211" s="10" t="s">
        <v>28</v>
      </c>
      <c r="H211" s="18" t="s">
        <v>431</v>
      </c>
    </row>
    <row r="212" spans="1:8" x14ac:dyDescent="0.25">
      <c r="A212" s="19">
        <v>1</v>
      </c>
      <c r="B212" s="19">
        <v>3</v>
      </c>
      <c r="C212" s="19">
        <v>1</v>
      </c>
      <c r="D212" s="20" t="s">
        <v>13</v>
      </c>
      <c r="E212" s="20" t="s">
        <v>24</v>
      </c>
      <c r="F212" s="20">
        <v>11</v>
      </c>
      <c r="G212" s="20" t="s">
        <v>31</v>
      </c>
      <c r="H212" s="21" t="s">
        <v>432</v>
      </c>
    </row>
    <row r="213" spans="1:8" x14ac:dyDescent="0.25">
      <c r="A213" s="19">
        <v>1</v>
      </c>
      <c r="B213" s="19">
        <v>3</v>
      </c>
      <c r="C213" s="19">
        <v>1</v>
      </c>
      <c r="D213" s="20" t="s">
        <v>13</v>
      </c>
      <c r="E213" s="20" t="s">
        <v>24</v>
      </c>
      <c r="F213" s="20">
        <v>12</v>
      </c>
      <c r="G213" s="20" t="s">
        <v>17</v>
      </c>
      <c r="H213" s="21" t="s">
        <v>437</v>
      </c>
    </row>
    <row r="214" spans="1:8" x14ac:dyDescent="0.25">
      <c r="A214" s="19">
        <v>1</v>
      </c>
      <c r="B214" s="19">
        <v>3</v>
      </c>
      <c r="C214" s="19">
        <v>1</v>
      </c>
      <c r="D214" s="20" t="s">
        <v>13</v>
      </c>
      <c r="E214" s="20" t="s">
        <v>24</v>
      </c>
      <c r="F214" s="20">
        <v>12</v>
      </c>
      <c r="G214" s="20" t="s">
        <v>19</v>
      </c>
      <c r="H214" s="21" t="s">
        <v>439</v>
      </c>
    </row>
    <row r="215" spans="1:8" x14ac:dyDescent="0.25">
      <c r="A215" s="19">
        <v>1</v>
      </c>
      <c r="B215" s="19">
        <v>3</v>
      </c>
      <c r="C215" s="19">
        <v>1</v>
      </c>
      <c r="D215" s="20" t="s">
        <v>13</v>
      </c>
      <c r="E215" s="20" t="s">
        <v>24</v>
      </c>
      <c r="F215" s="20">
        <v>12</v>
      </c>
      <c r="G215" s="20" t="s">
        <v>22</v>
      </c>
      <c r="H215" s="21" t="s">
        <v>441</v>
      </c>
    </row>
    <row r="216" spans="1:8" x14ac:dyDescent="0.25">
      <c r="A216" s="19">
        <v>1</v>
      </c>
      <c r="B216" s="19">
        <v>3</v>
      </c>
      <c r="C216" s="19">
        <v>1</v>
      </c>
      <c r="D216" s="20" t="s">
        <v>13</v>
      </c>
      <c r="E216" s="20" t="s">
        <v>24</v>
      </c>
      <c r="F216" s="20">
        <v>12</v>
      </c>
      <c r="G216" s="20" t="s">
        <v>25</v>
      </c>
      <c r="H216" s="21" t="s">
        <v>443</v>
      </c>
    </row>
    <row r="217" spans="1:8" x14ac:dyDescent="0.25">
      <c r="A217" s="19">
        <v>1</v>
      </c>
      <c r="B217" s="19">
        <v>3</v>
      </c>
      <c r="C217" s="19">
        <v>1</v>
      </c>
      <c r="D217" s="20" t="s">
        <v>13</v>
      </c>
      <c r="E217" s="20" t="s">
        <v>24</v>
      </c>
      <c r="F217" s="20">
        <v>12</v>
      </c>
      <c r="G217" s="20" t="s">
        <v>28</v>
      </c>
      <c r="H217" s="21" t="s">
        <v>447</v>
      </c>
    </row>
    <row r="218" spans="1:8" x14ac:dyDescent="0.25">
      <c r="A218" s="19">
        <v>1</v>
      </c>
      <c r="B218" s="19">
        <v>3</v>
      </c>
      <c r="C218" s="19">
        <v>1</v>
      </c>
      <c r="D218" s="20" t="s">
        <v>13</v>
      </c>
      <c r="E218" s="20" t="s">
        <v>24</v>
      </c>
      <c r="F218" s="20">
        <v>12</v>
      </c>
      <c r="G218" s="20" t="s">
        <v>31</v>
      </c>
      <c r="H218" s="21" t="s">
        <v>449</v>
      </c>
    </row>
    <row r="219" spans="1:8" x14ac:dyDescent="0.25">
      <c r="A219" s="24">
        <v>1</v>
      </c>
      <c r="B219" s="24">
        <v>3</v>
      </c>
      <c r="C219" s="24">
        <v>1</v>
      </c>
      <c r="D219" s="25" t="s">
        <v>13</v>
      </c>
      <c r="E219" s="25" t="s">
        <v>24</v>
      </c>
      <c r="F219" s="25">
        <v>13</v>
      </c>
      <c r="G219" s="25" t="s">
        <v>17</v>
      </c>
      <c r="H219" s="26" t="s">
        <v>452</v>
      </c>
    </row>
    <row r="220" spans="1:8" x14ac:dyDescent="0.25">
      <c r="A220" s="24">
        <v>1</v>
      </c>
      <c r="B220" s="24">
        <v>3</v>
      </c>
      <c r="C220" s="24">
        <v>1</v>
      </c>
      <c r="D220" s="25" t="s">
        <v>13</v>
      </c>
      <c r="E220" s="25" t="s">
        <v>24</v>
      </c>
      <c r="F220" s="25">
        <v>13</v>
      </c>
      <c r="G220" s="25" t="s">
        <v>19</v>
      </c>
      <c r="H220" s="26" t="s">
        <v>453</v>
      </c>
    </row>
    <row r="221" spans="1:8" x14ac:dyDescent="0.25">
      <c r="A221" s="24">
        <v>1</v>
      </c>
      <c r="B221" s="24">
        <v>3</v>
      </c>
      <c r="C221" s="24">
        <v>1</v>
      </c>
      <c r="D221" s="25" t="s">
        <v>13</v>
      </c>
      <c r="E221" s="25" t="s">
        <v>24</v>
      </c>
      <c r="F221" s="25">
        <v>14</v>
      </c>
      <c r="G221" s="25" t="s">
        <v>17</v>
      </c>
      <c r="H221" s="26" t="s">
        <v>455</v>
      </c>
    </row>
    <row r="222" spans="1:8" x14ac:dyDescent="0.25">
      <c r="A222" s="24">
        <v>1</v>
      </c>
      <c r="B222" s="24">
        <v>3</v>
      </c>
      <c r="C222" s="24">
        <v>1</v>
      </c>
      <c r="D222" s="25" t="s">
        <v>13</v>
      </c>
      <c r="E222" s="25" t="s">
        <v>24</v>
      </c>
      <c r="F222" s="25">
        <v>15</v>
      </c>
      <c r="G222" s="25" t="s">
        <v>17</v>
      </c>
      <c r="H222" s="26" t="s">
        <v>457</v>
      </c>
    </row>
    <row r="223" spans="1:8" x14ac:dyDescent="0.25">
      <c r="A223" s="24">
        <v>1</v>
      </c>
      <c r="B223" s="24">
        <v>3</v>
      </c>
      <c r="C223" s="24">
        <v>1</v>
      </c>
      <c r="D223" s="25" t="s">
        <v>13</v>
      </c>
      <c r="E223" s="25" t="s">
        <v>24</v>
      </c>
      <c r="F223" s="25">
        <v>15</v>
      </c>
      <c r="G223" s="25" t="s">
        <v>19</v>
      </c>
      <c r="H223" s="26" t="s">
        <v>458</v>
      </c>
    </row>
    <row r="224" spans="1:8" x14ac:dyDescent="0.25">
      <c r="A224" s="24">
        <v>1</v>
      </c>
      <c r="B224" s="24">
        <v>3</v>
      </c>
      <c r="C224" s="24">
        <v>1</v>
      </c>
      <c r="D224" s="25" t="s">
        <v>13</v>
      </c>
      <c r="E224" s="25" t="s">
        <v>24</v>
      </c>
      <c r="F224" s="25">
        <v>15</v>
      </c>
      <c r="G224" s="25" t="s">
        <v>22</v>
      </c>
      <c r="H224" s="26" t="s">
        <v>459</v>
      </c>
    </row>
    <row r="225" spans="1:8" x14ac:dyDescent="0.25">
      <c r="A225" s="24">
        <v>1</v>
      </c>
      <c r="B225" s="24">
        <v>3</v>
      </c>
      <c r="C225" s="24">
        <v>1</v>
      </c>
      <c r="D225" s="25" t="s">
        <v>13</v>
      </c>
      <c r="E225" s="25" t="s">
        <v>24</v>
      </c>
      <c r="F225" s="25">
        <v>16</v>
      </c>
      <c r="G225" s="25" t="s">
        <v>17</v>
      </c>
      <c r="H225" s="26" t="s">
        <v>461</v>
      </c>
    </row>
    <row r="226" spans="1:8" x14ac:dyDescent="0.25">
      <c r="A226" s="19">
        <v>1</v>
      </c>
      <c r="B226" s="19">
        <v>3</v>
      </c>
      <c r="C226" s="19">
        <v>1</v>
      </c>
      <c r="D226" s="20" t="s">
        <v>13</v>
      </c>
      <c r="E226" s="20" t="s">
        <v>24</v>
      </c>
      <c r="F226" s="20">
        <v>17</v>
      </c>
      <c r="G226" s="20" t="s">
        <v>17</v>
      </c>
      <c r="H226" s="21" t="s">
        <v>464</v>
      </c>
    </row>
    <row r="227" spans="1:8" x14ac:dyDescent="0.25">
      <c r="A227" s="19">
        <v>1</v>
      </c>
      <c r="B227" s="19">
        <v>3</v>
      </c>
      <c r="C227" s="19">
        <v>1</v>
      </c>
      <c r="D227" s="20" t="s">
        <v>13</v>
      </c>
      <c r="E227" s="20" t="s">
        <v>24</v>
      </c>
      <c r="F227" s="20">
        <v>18</v>
      </c>
      <c r="G227" s="20" t="s">
        <v>17</v>
      </c>
      <c r="H227" s="21" t="s">
        <v>467</v>
      </c>
    </row>
  </sheetData>
  <autoFilter ref="A1:H2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DONNY SANJAYA</dc:creator>
  <cp:lastModifiedBy>WIN 10</cp:lastModifiedBy>
  <dcterms:created xsi:type="dcterms:W3CDTF">2019-07-19T04:32:24Z</dcterms:created>
  <dcterms:modified xsi:type="dcterms:W3CDTF">2019-08-31T04:31:30Z</dcterms:modified>
</cp:coreProperties>
</file>