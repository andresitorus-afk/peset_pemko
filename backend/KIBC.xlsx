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 10\Downloads\Telegram Desktop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Sheet1!$E$5:$W$513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513" i="1" l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185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7" i="1"/>
  <c r="X174" i="1" l="1"/>
  <c r="X513" i="1"/>
  <c r="X512" i="1"/>
  <c r="X511" i="1"/>
  <c r="X510" i="1"/>
  <c r="X509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3" i="1"/>
  <c r="X442" i="1"/>
  <c r="X441" i="1"/>
  <c r="X440" i="1"/>
  <c r="X439" i="1"/>
  <c r="X437" i="1"/>
  <c r="X435" i="1"/>
  <c r="X433" i="1"/>
  <c r="X432" i="1"/>
  <c r="X431" i="1"/>
  <c r="X429" i="1"/>
  <c r="X428" i="1"/>
  <c r="X427" i="1"/>
  <c r="X426" i="1"/>
  <c r="X425" i="1"/>
  <c r="X424" i="1"/>
  <c r="X422" i="1"/>
  <c r="X420" i="1"/>
  <c r="X418" i="1"/>
  <c r="X416" i="1"/>
  <c r="X414" i="1"/>
  <c r="X413" i="1"/>
  <c r="X411" i="1"/>
  <c r="X410" i="1"/>
  <c r="X409" i="1"/>
  <c r="X407" i="1"/>
  <c r="X406" i="1"/>
  <c r="X405" i="1"/>
  <c r="X404" i="1"/>
  <c r="X403" i="1"/>
  <c r="X402" i="1"/>
  <c r="X401" i="1"/>
  <c r="X399" i="1"/>
  <c r="X398" i="1"/>
  <c r="X397" i="1"/>
  <c r="X396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0" i="1"/>
  <c r="X239" i="1"/>
  <c r="X238" i="1"/>
  <c r="X237" i="1"/>
  <c r="X236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7" i="1"/>
  <c r="X176" i="1"/>
  <c r="X175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N513" i="1"/>
  <c r="N512" i="1"/>
  <c r="N511" i="1"/>
  <c r="N510" i="1"/>
  <c r="N509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3" i="1"/>
  <c r="N442" i="1"/>
  <c r="N441" i="1"/>
  <c r="N440" i="1"/>
  <c r="N439" i="1"/>
  <c r="N437" i="1"/>
  <c r="N435" i="1"/>
  <c r="N433" i="1"/>
  <c r="N432" i="1"/>
  <c r="N431" i="1"/>
  <c r="N429" i="1"/>
  <c r="N428" i="1"/>
  <c r="N427" i="1"/>
  <c r="N426" i="1"/>
  <c r="N425" i="1"/>
  <c r="N424" i="1"/>
  <c r="N422" i="1"/>
  <c r="N420" i="1"/>
  <c r="N418" i="1"/>
  <c r="N416" i="1"/>
  <c r="N414" i="1"/>
  <c r="N413" i="1"/>
  <c r="N411" i="1"/>
  <c r="N410" i="1"/>
  <c r="N409" i="1"/>
  <c r="N407" i="1"/>
  <c r="N406" i="1"/>
  <c r="N405" i="1"/>
  <c r="N404" i="1"/>
  <c r="N403" i="1"/>
  <c r="N402" i="1"/>
  <c r="N401" i="1"/>
  <c r="N399" i="1"/>
  <c r="N398" i="1"/>
  <c r="N397" i="1"/>
  <c r="N396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0" i="1"/>
  <c r="N239" i="1"/>
  <c r="N238" i="1"/>
  <c r="N237" i="1"/>
  <c r="N236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O513" i="1" l="1"/>
  <c r="O512" i="1"/>
  <c r="O511" i="1"/>
  <c r="O510" i="1"/>
  <c r="O509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3" i="1"/>
  <c r="O442" i="1"/>
  <c r="O441" i="1"/>
  <c r="O440" i="1"/>
  <c r="O439" i="1"/>
  <c r="O437" i="1"/>
  <c r="O435" i="1"/>
  <c r="O433" i="1"/>
  <c r="O432" i="1"/>
  <c r="O431" i="1"/>
  <c r="O429" i="1"/>
  <c r="O428" i="1"/>
  <c r="O427" i="1"/>
  <c r="O426" i="1"/>
  <c r="O425" i="1"/>
  <c r="O424" i="1"/>
  <c r="O422" i="1"/>
  <c r="O420" i="1"/>
  <c r="O418" i="1"/>
  <c r="O416" i="1"/>
  <c r="O414" i="1"/>
  <c r="O413" i="1"/>
  <c r="O411" i="1"/>
  <c r="O410" i="1"/>
  <c r="O409" i="1"/>
  <c r="O407" i="1"/>
  <c r="O406" i="1"/>
  <c r="O405" i="1"/>
  <c r="O404" i="1"/>
  <c r="O403" i="1"/>
  <c r="O402" i="1"/>
  <c r="O401" i="1"/>
  <c r="O399" i="1"/>
  <c r="O398" i="1"/>
  <c r="O397" i="1"/>
  <c r="O396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0" i="1"/>
  <c r="O239" i="1"/>
  <c r="O238" i="1"/>
  <c r="O237" i="1"/>
  <c r="O236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45" i="1"/>
  <c r="O92" i="1"/>
  <c r="O178" i="1"/>
  <c r="O235" i="1"/>
  <c r="O241" i="1"/>
  <c r="O395" i="1"/>
  <c r="O400" i="1"/>
  <c r="O408" i="1"/>
  <c r="O412" i="1"/>
  <c r="O415" i="1"/>
  <c r="O417" i="1"/>
  <c r="O419" i="1"/>
  <c r="O421" i="1"/>
  <c r="O423" i="1"/>
  <c r="O430" i="1"/>
  <c r="O434" i="1"/>
  <c r="O436" i="1"/>
  <c r="O438" i="1"/>
  <c r="O444" i="1"/>
  <c r="O445" i="1"/>
  <c r="O446" i="1"/>
  <c r="O462" i="1"/>
  <c r="O508" i="1"/>
</calcChain>
</file>

<file path=xl/sharedStrings.xml><?xml version="1.0" encoding="utf-8"?>
<sst xmlns="http://schemas.openxmlformats.org/spreadsheetml/2006/main" count="4179" uniqueCount="1426">
  <si>
    <t>PERMENDAGRI NO.108 TAHUN 2016 TENTANG PENGGOLONGAN DAN KODEFIKASI                            BARANG MILIK DAERAH</t>
  </si>
  <si>
    <t>Akun</t>
  </si>
  <si>
    <t>Kelompok</t>
  </si>
  <si>
    <t>Jenis</t>
  </si>
  <si>
    <t>Objek</t>
  </si>
  <si>
    <t>Rincian Objek</t>
  </si>
  <si>
    <t>Sub Rincian Objek</t>
  </si>
  <si>
    <t>Sub-Sub Rincian Objek</t>
  </si>
  <si>
    <t>Uraian</t>
  </si>
  <si>
    <t>GEDUNG DAN BANGUNAN</t>
  </si>
  <si>
    <t>01</t>
  </si>
  <si>
    <t>BANGUNAN GEDUNG</t>
  </si>
  <si>
    <t>BANGUNAN GEDUNG TEMPAT KERJA</t>
  </si>
  <si>
    <t>BANGUNAN GEDUNG KANTOR</t>
  </si>
  <si>
    <t>001</t>
  </si>
  <si>
    <t>Bangunan Gedung Kantor Permanen</t>
  </si>
  <si>
    <t>002</t>
  </si>
  <si>
    <t>Bangunan Gedung Kantor Semi Permanen</t>
  </si>
  <si>
    <t>003</t>
  </si>
  <si>
    <t>Bangunan Gedung Kantor Darurat</t>
  </si>
  <si>
    <t>004</t>
  </si>
  <si>
    <t>Rumah Panel</t>
  </si>
  <si>
    <t>005</t>
  </si>
  <si>
    <t>Dst….</t>
  </si>
  <si>
    <t>02</t>
  </si>
  <si>
    <t>BANGUNAN GUDANG</t>
  </si>
  <si>
    <t>Bangunan Gudang Tertutup Permanen</t>
  </si>
  <si>
    <t>Bangunan Gudang Tertutup Semi Permanen</t>
  </si>
  <si>
    <t>Bangunan Gudang Tertutup Darurat</t>
  </si>
  <si>
    <t>Bangunan Gudang Terbuka Permanen</t>
  </si>
  <si>
    <t>Bangunan Gudang Terbuka Semi Permanen</t>
  </si>
  <si>
    <t>006</t>
  </si>
  <si>
    <t>Bangunan Gudang Terbuka Darurat</t>
  </si>
  <si>
    <t>007</t>
  </si>
  <si>
    <t>Bangunan Gudang Penyimpanan Limbah Radioaktif Sementara (Intern Storage)</t>
  </si>
  <si>
    <t>008</t>
  </si>
  <si>
    <t>Bangunan Gudang Penyimpanan Limbah Radioaktif Permanen</t>
  </si>
  <si>
    <t>009</t>
  </si>
  <si>
    <t>Bangunan Gudang Penyimpanan Limbah Radioaktif Aktivitas Tinggi</t>
  </si>
  <si>
    <t>010</t>
  </si>
  <si>
    <t>Bangunan Gudang Penyimpanan Limbah Radioaktif Cair</t>
  </si>
  <si>
    <t>011</t>
  </si>
  <si>
    <t>Bangunan Gudang Penyimpanan Limbah Radioaktif Padat</t>
  </si>
  <si>
    <t>012</t>
  </si>
  <si>
    <t>Bangunan Gudang Penyimpanan Limbah Radioaktif Gas</t>
  </si>
  <si>
    <t>013</t>
  </si>
  <si>
    <t>Bangunan Gudang Penyimpanan Limbah Radioaktif Lainnya</t>
  </si>
  <si>
    <t>014</t>
  </si>
  <si>
    <t>03</t>
  </si>
  <si>
    <t>BANGUNAN GEDUNG UNTUK BENGKEL/HANGGAR</t>
  </si>
  <si>
    <t>Bangunan Bengkel/Hanggar Permanen</t>
  </si>
  <si>
    <t>Bangunan Bengkel /Hanggar Semi Permanen</t>
  </si>
  <si>
    <t>Bangunan Bengkel /Hanggar Darurat</t>
  </si>
  <si>
    <t>Bangunan Depo Kereta Api</t>
  </si>
  <si>
    <t>04</t>
  </si>
  <si>
    <t>BANGUNAN GEDUNG INSTALASI</t>
  </si>
  <si>
    <t>Gedung Instalasi Studio</t>
  </si>
  <si>
    <t>Gedung Instalasi Pemancar</t>
  </si>
  <si>
    <t>Bangunan Gedung Instalasi Radar</t>
  </si>
  <si>
    <t>Bangunan Gedung Reaktor Nuklir</t>
  </si>
  <si>
    <t>Bangunan Gedung Instalasi Pertahanan dan Keamanan</t>
  </si>
  <si>
    <t>05</t>
  </si>
  <si>
    <t>BANGUNAN GEDUNG LABORATORIUM</t>
  </si>
  <si>
    <t>Bangunan Gedung Laboratorium Permanen</t>
  </si>
  <si>
    <t>Bangunan Gedung Laboratorium Semi Permanen</t>
  </si>
  <si>
    <t>Bangunan Gedung Laboratorium Darurat</t>
  </si>
  <si>
    <t>06</t>
  </si>
  <si>
    <t>BANGUNAN KESEHATAN</t>
  </si>
  <si>
    <t>Bangunan Rumah Sakit Umum</t>
  </si>
  <si>
    <t>Bangunan Rumah Sakit Khusus</t>
  </si>
  <si>
    <t>Bangunan Rumah Sakit Kusta</t>
  </si>
  <si>
    <t>Bangunan Rumah Sakit Jiwa</t>
  </si>
  <si>
    <t>Bangunan Rumah Sakit Paru-Paru</t>
  </si>
  <si>
    <t>Bangunan Rumah Sakit Gigi</t>
  </si>
  <si>
    <t>Bangunan Rumah Sakit Jantung</t>
  </si>
  <si>
    <t>Bangunan Rumah Sakit Kanker</t>
  </si>
  <si>
    <t>Bangunan Rumah Sakit Bersalin Dan Lain-Lain</t>
  </si>
  <si>
    <t>Bangunan Klinik/Puskesmas</t>
  </si>
  <si>
    <t>Bangunan Rumah Sakit Hewan</t>
  </si>
  <si>
    <t>Bangunan Puskesmas Pembantu</t>
  </si>
  <si>
    <t>Bangunan Tempat Praktek Dokter</t>
  </si>
  <si>
    <t>Bangunan Tempat Praktek Bidan</t>
  </si>
  <si>
    <t>015</t>
  </si>
  <si>
    <t>Bangunan Posyandu</t>
  </si>
  <si>
    <t>016</t>
  </si>
  <si>
    <t>Bangunan Polindes (Pondok Bersalin Desa)</t>
  </si>
  <si>
    <t>017</t>
  </si>
  <si>
    <t>Banguan Apotik</t>
  </si>
  <si>
    <t>018</t>
  </si>
  <si>
    <t>Bangunan Toko khusus obat/jamu</t>
  </si>
  <si>
    <t>019</t>
  </si>
  <si>
    <t>07</t>
  </si>
  <si>
    <t>BANGUNAN OCEANARIUM/OBSERVATORIUM</t>
  </si>
  <si>
    <t>Bangunan Oceanarium/Observatorium Permanen</t>
  </si>
  <si>
    <t>Bangunan Oceanarium/Observatorium Semi Permanen</t>
  </si>
  <si>
    <t>Bangunan Oceanarium/Observatorium Darurat</t>
  </si>
  <si>
    <t>08</t>
  </si>
  <si>
    <t>BANGUNAN GEDUNG TEMPAT IBADAH</t>
  </si>
  <si>
    <t>Bangunan Gedung Tempat Ibadah Permanen</t>
  </si>
  <si>
    <t>Bangunan Gedung Tempat Ibadah Semi Permanen</t>
  </si>
  <si>
    <t>Bangunan Gedung Tempat Ibadah Darurat</t>
  </si>
  <si>
    <t>09</t>
  </si>
  <si>
    <t>BANGUNAN GEDUNG TEMPAT PERTEMUAN</t>
  </si>
  <si>
    <t>Bangunan Gedung Pertemuan Permanen</t>
  </si>
  <si>
    <t>Bangunan Gedung Pertemuan Semi Permanen</t>
  </si>
  <si>
    <t>Bangunan Gedung Pertemuan Darurat</t>
  </si>
  <si>
    <t>BANGUNAN GEDUNG TEMPAT PENDIDIKAN</t>
  </si>
  <si>
    <t>Bangunan Gedung Pendidikan Permanen</t>
  </si>
  <si>
    <t>Bangunan Gedung Pendidikan Semi Permanen</t>
  </si>
  <si>
    <t>Bangunan Gedung Pendidikan Darurat</t>
  </si>
  <si>
    <t>Bangunan Gedung Pendidikan dan Latihan</t>
  </si>
  <si>
    <t>BANGUNAN GEDUNG TEMPAT OLAH RAGA</t>
  </si>
  <si>
    <t>Gedung Olah Raga Tetutup Permanen</t>
  </si>
  <si>
    <t>Gedung Olah Raga Tertutup Semi Permanen</t>
  </si>
  <si>
    <t>Gedung Olah Raga Tertutup Darurat</t>
  </si>
  <si>
    <t>Bangunan Olah Raga Terbuka Permanen</t>
  </si>
  <si>
    <t>Bangunan Olah Raga Terbuka Semi Permanen</t>
  </si>
  <si>
    <t>Bangunan Olah Raga Terbuka Darurat</t>
  </si>
  <si>
    <t>Bangunan Gedung Olah Raga Kolam Renang</t>
  </si>
  <si>
    <t>BANGUNAN GEDUNG PERTOKOAN/KOPERASI/PASAR</t>
  </si>
  <si>
    <t>Gedung Pertokoan/Koperasi/Pasar Permanen</t>
  </si>
  <si>
    <t>Gedung Pertokoan/Koperasi/Pasar Semi Permanen</t>
  </si>
  <si>
    <t>Gedung Pertokoan/Koperasi/Pasar Darurat</t>
  </si>
  <si>
    <t>BANGUNAN GEDUNG UNTUK POS JAGA</t>
  </si>
  <si>
    <t>Gedung Pos Jaga Permanen</t>
  </si>
  <si>
    <t>Gedung Pos Jaga Semi Permanen</t>
  </si>
  <si>
    <t>Gedung Pos Jaga Darurat</t>
  </si>
  <si>
    <t>Gedung Menara Peninjau Permanen</t>
  </si>
  <si>
    <t>Gedung Menara Peninjau Semi Permanen</t>
  </si>
  <si>
    <t>Gedung Menara Peninjau Darurat</t>
  </si>
  <si>
    <t>Gedung Pos Pamtas Permanen</t>
  </si>
  <si>
    <t>Gedung Pos Pamtas Semi Permanen</t>
  </si>
  <si>
    <t>Gedung Pos Pamtas Darurat</t>
  </si>
  <si>
    <t>BANGUNAN GEDUNG GARASI/POOL</t>
  </si>
  <si>
    <t>Gedung Garasi/Pool Permanen</t>
  </si>
  <si>
    <t>Gedung Garasi/Pool Semi Permanen</t>
  </si>
  <si>
    <t>Gedung Garasi/Pool Darurat</t>
  </si>
  <si>
    <t>BANGUNAN GEDUNG PEMOTONG HEWAN</t>
  </si>
  <si>
    <t>Gedung Pemotong Hewan Permanen</t>
  </si>
  <si>
    <t>Gedung Pemotong Hewan Semi Permanen</t>
  </si>
  <si>
    <t>Gedung Pemotong Hewan Darurat</t>
  </si>
  <si>
    <t>BANGUNAN GEDUNG PERPUSTAKAAN</t>
  </si>
  <si>
    <t>Bangunan Gedung Perpustakaan Permanen</t>
  </si>
  <si>
    <t>Bangunan Gedung Perpustakaan Semi Permanen</t>
  </si>
  <si>
    <t>Bangunan Gedung Perpustakaan Darurat</t>
  </si>
  <si>
    <t>BANGUNAN GEDUNG MUSIUM</t>
  </si>
  <si>
    <t>Bangunan Gedung Musium Permanen</t>
  </si>
  <si>
    <t>Bangunan Gedung Musium Semi Permanen</t>
  </si>
  <si>
    <t>Bangunan Gedung Musium Darurat</t>
  </si>
  <si>
    <t>BANGUNAN GEDUNG TERMINAL/PELABUHAN/BANDARA</t>
  </si>
  <si>
    <t>Bangunan Gedung Terminal/Pelabuhan/Bandara Permanen</t>
  </si>
  <si>
    <t>Bangunan Gedung Terminal/Pelabuhan/Bandara Semi Permanen</t>
  </si>
  <si>
    <t>Bangunan Gedung Terminal/Pelabuhan/Bandara Darurat</t>
  </si>
  <si>
    <t>Bangunan Halte/Shelter</t>
  </si>
  <si>
    <t>BANGUNAN PENGUJIAN KELAIKAN</t>
  </si>
  <si>
    <t>Bangunan Pengujian Kelaikan Permanen</t>
  </si>
  <si>
    <t>Bangunan Pengujian Kelaikan Semi Permanen</t>
  </si>
  <si>
    <t>Bangunan Pengujian Kelaikan Darurat</t>
  </si>
  <si>
    <t>BANGUNAN GEDUNG LEMBAGA PEMASYARAKATAN</t>
  </si>
  <si>
    <t>Bangunan Gedung L P Kelas I</t>
  </si>
  <si>
    <t>Bangunan Gedung L P Kelas II</t>
  </si>
  <si>
    <t>BANGUNAN RUMAH TAHANAN</t>
  </si>
  <si>
    <t>Bangunan Gedung Rutan Kelas I</t>
  </si>
  <si>
    <t>Bangunan Gedung Rutan Kelas II</t>
  </si>
  <si>
    <t>Gedung Tahanan Karantina</t>
  </si>
  <si>
    <t>BANGUNAN GEDUNG KREMATORIUM</t>
  </si>
  <si>
    <t>Bangunan Gedung Krematorium Permanen</t>
  </si>
  <si>
    <t>Bangunan Gedung Krematorium Semi Permanen</t>
  </si>
  <si>
    <t>Bangunan Gedung Krematorium Darurat</t>
  </si>
  <si>
    <t>BANGUNAN PEMBAKARAN BANGKAI HEWAN</t>
  </si>
  <si>
    <t>Bangunan Pembakaran Bangkai Hewan Permanen</t>
  </si>
  <si>
    <t>Bangunan Pembakaran Bangkai Hewan Semi Permanen</t>
  </si>
  <si>
    <t>Bangunan Pembakaran Bangkai Hewan Darurat</t>
  </si>
  <si>
    <t>BANGUNAN TEMPAT PERSIDANGAN</t>
  </si>
  <si>
    <t>Bangunan Tempat Sidang/Zitting Plaat</t>
  </si>
  <si>
    <t>BANGUNAN TERBUKA</t>
  </si>
  <si>
    <t>Bangunan Lantai Jemur Permanen</t>
  </si>
  <si>
    <t>Bangunan Lantai Jemur Semi Permanen</t>
  </si>
  <si>
    <t>Bangunan Lantai Jemur Darurat</t>
  </si>
  <si>
    <t>Selasar</t>
  </si>
  <si>
    <t>BANGUNAN PENAMPUNG SEKAM</t>
  </si>
  <si>
    <t>Bangunan Penampung Sekam Permanen</t>
  </si>
  <si>
    <t>Bangunan Penampung Sekam Semi Permanen</t>
  </si>
  <si>
    <t>Bangunan Penampung Sekam Darurat</t>
  </si>
  <si>
    <t>BANGUNAN TEMPAT PELELANGAN IKAN (TPI)</t>
  </si>
  <si>
    <t>Bangunan TPI Permanen</t>
  </si>
  <si>
    <t>Bangunan TPI Semi Permanen</t>
  </si>
  <si>
    <t>Bangunan TPI Darurat</t>
  </si>
  <si>
    <t>BANGUNAN INDUSTRI</t>
  </si>
  <si>
    <t>Bangunan Industri Makanan</t>
  </si>
  <si>
    <t>Bangunan Industri Minuman</t>
  </si>
  <si>
    <t>Bangunan Industri alat RT</t>
  </si>
  <si>
    <t>Bangunan Industri Pakaian/Garment</t>
  </si>
  <si>
    <t>Bangunan Industri Baja/Besi/Logam</t>
  </si>
  <si>
    <t>Bangunan Industri Pengemasan</t>
  </si>
  <si>
    <t>Bangunan Industri Bengkel</t>
  </si>
  <si>
    <t>Bangunan Industri Penyulingan Minyak</t>
  </si>
  <si>
    <t>Bangunan Industri Kimia Dan Pupuk</t>
  </si>
  <si>
    <t>Bangunan Industri Obat-Obatan</t>
  </si>
  <si>
    <t>Bangunan Industri Semen</t>
  </si>
  <si>
    <t>Bangunan Industri Batu-Bata/Batako</t>
  </si>
  <si>
    <t>Bangunan Industri Genteng</t>
  </si>
  <si>
    <t>Bangunan Industri Percetakan</t>
  </si>
  <si>
    <t>Bangunan Industri Tekstil</t>
  </si>
  <si>
    <t>Bangunan Industri Alat Olah Raga</t>
  </si>
  <si>
    <t>Bangunan Industri Kendaraan/Otomotif</t>
  </si>
  <si>
    <t>Bangunan Industri Persenjataan</t>
  </si>
  <si>
    <t>Bangunan Industri Kapal Udara</t>
  </si>
  <si>
    <t>020</t>
  </si>
  <si>
    <t>Bangunan Industri Kapal Laut</t>
  </si>
  <si>
    <t>021</t>
  </si>
  <si>
    <t>Bangunan Industri Kereta Api</t>
  </si>
  <si>
    <t>022</t>
  </si>
  <si>
    <t>Bangunan Industri Keramik/Marmer</t>
  </si>
  <si>
    <t>023</t>
  </si>
  <si>
    <t>Bangunan Pabrik Es</t>
  </si>
  <si>
    <t>024</t>
  </si>
  <si>
    <t>Bangunan Pasar Ikan Higienis/ PIH</t>
  </si>
  <si>
    <t>025</t>
  </si>
  <si>
    <t>Bangunan Depo Pasar Ikan</t>
  </si>
  <si>
    <t>026</t>
  </si>
  <si>
    <t>Bangunan Pasar/ Raiser Ikan Hias</t>
  </si>
  <si>
    <t>027</t>
  </si>
  <si>
    <t>BANGUNAN PETERNAKAN/PERIKANAN</t>
  </si>
  <si>
    <t>Bangunan Untuk Kandang</t>
  </si>
  <si>
    <t>Bangunan Kolam/Bak Ikan</t>
  </si>
  <si>
    <t>Bangunan Pembesar Ikan</t>
  </si>
  <si>
    <t>BANGUNAN GEDUNG TEMPAT KERJA LAINNYA</t>
  </si>
  <si>
    <t>Bangunan Gedung Tempat Kerja Lainnya Permanen</t>
  </si>
  <si>
    <t>Bangunan Gedung Tempat Kerja Lainnya Semi Permanen</t>
  </si>
  <si>
    <t>Bangunan Gedung Tempat Kerja Lainnya Darurat</t>
  </si>
  <si>
    <t>Gedung Pengujian Kendaraan Lainnya</t>
  </si>
  <si>
    <t>BANGUNAN PERALATAN GEOFISIKA</t>
  </si>
  <si>
    <t>Bunker Seismik Vault</t>
  </si>
  <si>
    <t>Bangunan Seismik Vault di Atas Tanah</t>
  </si>
  <si>
    <t>Bangunan Magnet Bumi</t>
  </si>
  <si>
    <t>Bangunan Pilar Gaya Berat</t>
  </si>
  <si>
    <t>Bangunan Teropong Bintang Transit</t>
  </si>
  <si>
    <t>Bangunan Rukyat Hilal</t>
  </si>
  <si>
    <t>BANGUNAN FASILITAS UMUM</t>
  </si>
  <si>
    <t>Bangunan Tempat Parkir</t>
  </si>
  <si>
    <t>Bangunan Tempat Bermain Anak</t>
  </si>
  <si>
    <t>Bangunan Penerangan Jalan</t>
  </si>
  <si>
    <t>Bangunan Penerangan Taman</t>
  </si>
  <si>
    <t>BANGUNAN PARKIR</t>
  </si>
  <si>
    <t>Bangunan Parkir Terbuka Permanen</t>
  </si>
  <si>
    <t>Bangunan Parkir Terbuka Semi Permanen</t>
  </si>
  <si>
    <t>Bangunan Parkir Terbuka Darurat</t>
  </si>
  <si>
    <t>Bangunan Parkir Tertutup Permanen</t>
  </si>
  <si>
    <t>Bangunan Parkir Tertutup Semi Permanen</t>
  </si>
  <si>
    <t>Bangunan Parkir Tertutup Darurat</t>
  </si>
  <si>
    <t>BANGUNAN GEDUNG PABRIK</t>
  </si>
  <si>
    <t>Bangunan Gedung Pabrik Permanen</t>
  </si>
  <si>
    <t>Bangunan Gedung Pabrik Semi Permanen</t>
  </si>
  <si>
    <t>Bangunan Gedung Pabrik Darurat</t>
  </si>
  <si>
    <t>BANGUNAN STASIUN BUS</t>
  </si>
  <si>
    <t>Bangunan Stasiun Permanen</t>
  </si>
  <si>
    <t>Bangunan Stasiun Semi Permanen</t>
  </si>
  <si>
    <t>Bangunan Stasiun Darurat</t>
  </si>
  <si>
    <t>TAMAN</t>
  </si>
  <si>
    <t>Taman Permanen</t>
  </si>
  <si>
    <t>Taman Semi Permanen</t>
  </si>
  <si>
    <t>BANGUNAN GEDUNG TEMPAT TINGGAL</t>
  </si>
  <si>
    <t>RUMAH NEGARA GOLONGAN I</t>
  </si>
  <si>
    <t>Rumah Negara Golongan I Tipe A Permanen</t>
  </si>
  <si>
    <t>Rumah Negara Golongan I Tipe A Semi Permanen</t>
  </si>
  <si>
    <t>Rumah Negara Golongan I Tipe A Darurat</t>
  </si>
  <si>
    <t>Rumah Negara Golongan I Tipe B Permanen</t>
  </si>
  <si>
    <t>Rumah Negara Golongan I Tipe B Semi Permanen</t>
  </si>
  <si>
    <t>Rumah Negara Golongan I Tipe B Darurat</t>
  </si>
  <si>
    <t>Rumah Negara Golongan I Tipe C Permanen</t>
  </si>
  <si>
    <t>Rumah Negara Golongan I Tipe C Semi Permanen</t>
  </si>
  <si>
    <t>Rumah Negara Golongan I Tipe C Darurat</t>
  </si>
  <si>
    <t>Rumah Negara Golongan I Tipe D Permanen</t>
  </si>
  <si>
    <t>Rumah Negara Golongan I Tipe D Semi Permanen</t>
  </si>
  <si>
    <t>Rumah Negara Golongan I Tipe D Darurat</t>
  </si>
  <si>
    <t>Rumah Negara Golongan I Tipe E Permanen</t>
  </si>
  <si>
    <t>Rumah Negara Golongan I Tipe E Semi Permanen</t>
  </si>
  <si>
    <t>Rumah Negara Golongan I Tipe E Darurat</t>
  </si>
  <si>
    <t>RUMAH NEGARA GOLONGAN II</t>
  </si>
  <si>
    <t>Rumah Negara Golongan II Tipe A Permanen</t>
  </si>
  <si>
    <t>Rumah Negara Golongan II Tipe A Semi Permanen</t>
  </si>
  <si>
    <t>Rumah Negara Golongan II Tipe A Darurat</t>
  </si>
  <si>
    <t>Rumah Negara Golongan II Tipe B Permanen</t>
  </si>
  <si>
    <t>Rumah Negara Golongan II Tipe B Semi Permanen</t>
  </si>
  <si>
    <t>Rumah Negara Golongan II Tipe B Darurat</t>
  </si>
  <si>
    <t>Rumah Negara Golongan II Tipe C Permanen</t>
  </si>
  <si>
    <t>Rumah Negara Golongan II Tipe C Semi Permanen</t>
  </si>
  <si>
    <t>Rumah Negara Golongan II Tipe C Darurat</t>
  </si>
  <si>
    <t>Rumah Negara Golongan II Tipe D Permanen</t>
  </si>
  <si>
    <t>Rumah Negara Golongan II Tipe D Semi Permanen</t>
  </si>
  <si>
    <t>Rumah Negara Golongan II Tipe D Darurat</t>
  </si>
  <si>
    <t>Rumah Negara Golongan II Tipe E Permanen</t>
  </si>
  <si>
    <t>Rumah Negara Golongan II Tipe E Semi Permanen</t>
  </si>
  <si>
    <t>Rumah Negara Golongan II Tipe E Darurat</t>
  </si>
  <si>
    <t>RUMAH NEGARA GOLONGAN III</t>
  </si>
  <si>
    <t>Rumah Negara Golongan III Tipe A Permanen</t>
  </si>
  <si>
    <t>Rumah Negara Golongan III Tipe A Semi Permanen</t>
  </si>
  <si>
    <t>Rumah Negara Golongan III Tipe A Darurat</t>
  </si>
  <si>
    <t>Rumah Negara Golongan III Tipe B Permanen</t>
  </si>
  <si>
    <t>Rumah Negara Golongan III Tipe B Semi Permanen</t>
  </si>
  <si>
    <t>Rumah Negara Golongan III Tipe B Darurat</t>
  </si>
  <si>
    <t>Rumah Negara Golongan III Tipe C Permanen</t>
  </si>
  <si>
    <t>Rumah Negara Golongan III Tipe C Semi Permanen</t>
  </si>
  <si>
    <t>Rumah Negara Golongan III Tipe C Darurat</t>
  </si>
  <si>
    <t>Rumah Negara Golongan III Tipe D Permanen</t>
  </si>
  <si>
    <t>Rumah Negara Golongan III Tipe D Semi Permanen</t>
  </si>
  <si>
    <t>Rumah Negara Golongan III Tipe D Darurat</t>
  </si>
  <si>
    <t>Rumah Negara Golongan III Tipe E Permanen</t>
  </si>
  <si>
    <t>Rumah Negara Golongan III Tipe E Semi Permanen</t>
  </si>
  <si>
    <t>Rumah Negara Golongan III Tipe E Darurat</t>
  </si>
  <si>
    <t>MESS/WISMA/BUNGALOW/TEMPAT PERISTIRAHATAN</t>
  </si>
  <si>
    <t>Mess/Wisma/Bungalow/Tempat Peristirahatan Permanen</t>
  </si>
  <si>
    <t>Mess/Wisma/Bungalow/Tempat Peristirahatan Semi Permanen</t>
  </si>
  <si>
    <t>Mess/Wisma/Bungalow/Tempat Peristirahatan Darurat</t>
  </si>
  <si>
    <t>ASRAMA</t>
  </si>
  <si>
    <t>Asrama Permanen</t>
  </si>
  <si>
    <t>Asrama Semi Permanen</t>
  </si>
  <si>
    <t>Asrama Darurat</t>
  </si>
  <si>
    <t>Bangunan Ramah Bencana</t>
  </si>
  <si>
    <t>HOTEL</t>
  </si>
  <si>
    <t>Hotel Permanen</t>
  </si>
  <si>
    <t>Hotel Semi Permanen</t>
  </si>
  <si>
    <t>MOTEL</t>
  </si>
  <si>
    <t>Motel Permanen</t>
  </si>
  <si>
    <t>Motel Semi Permanen</t>
  </si>
  <si>
    <t>FLAT/RUMAH SUSUN</t>
  </si>
  <si>
    <t>Flat/Rumah Susun Permanen</t>
  </si>
  <si>
    <t>Flat/Rumah Susun Semi Permanen</t>
  </si>
  <si>
    <t>RUMAH NEGARA DALAM PROSES PENGGOLONGAN</t>
  </si>
  <si>
    <t>Rumah Negara dalam proses penggolongan A</t>
  </si>
  <si>
    <t>Rumah Negara dalam proses penggolongan B</t>
  </si>
  <si>
    <t>Rumah Negara dalam proses penggolongan C</t>
  </si>
  <si>
    <t>Rumah Negara dalam proses penggolongan D</t>
  </si>
  <si>
    <t>Rumah Negara dalam proses penggolongan E</t>
  </si>
  <si>
    <t>PANTI ASUHAN</t>
  </si>
  <si>
    <t>Panti Asuhan</t>
  </si>
  <si>
    <t>APARTEMEN</t>
  </si>
  <si>
    <t>Apartemen</t>
  </si>
  <si>
    <t>RUMAH TIDAK BERSUSUN</t>
  </si>
  <si>
    <t>Rumah Sederhana Sehat</t>
  </si>
  <si>
    <t>Rumah Sederhana</t>
  </si>
  <si>
    <t>Rumah Khusus</t>
  </si>
  <si>
    <t>BANGUNAN GEDUNG TEMPAT TINGGAL LAINNYA</t>
  </si>
  <si>
    <t>MONUMEN</t>
  </si>
  <si>
    <t>CANDI/TUGU PERINGATAN/PRASASTI</t>
  </si>
  <si>
    <t>CANDI</t>
  </si>
  <si>
    <t>Candi</t>
  </si>
  <si>
    <t>TUGU</t>
  </si>
  <si>
    <t>Tugu Kemerdekaan</t>
  </si>
  <si>
    <t>Tugu Pembangunan</t>
  </si>
  <si>
    <t>Tugu Peringatan Lainnya</t>
  </si>
  <si>
    <t>BANGUNAN PENINGGALAN</t>
  </si>
  <si>
    <t>Istana Peninggalan</t>
  </si>
  <si>
    <t>Rumah Adat</t>
  </si>
  <si>
    <t>Rumah Peninggalan Sejarah</t>
  </si>
  <si>
    <t>Makam Bersejarah</t>
  </si>
  <si>
    <t>CANDI/TUGU PERINGATAN/PRASASTI LAINNYA</t>
  </si>
  <si>
    <t>BANGUNAN MENARA</t>
  </si>
  <si>
    <t>BANGUNAN MENARA PERAMBUAN</t>
  </si>
  <si>
    <t>BANGUNAN MENARA PERAMBUAN PENERANGAN PANTAI</t>
  </si>
  <si>
    <t>Menara Suar Listrik Diesel</t>
  </si>
  <si>
    <t>Menara Suar Listrik Non Diesel</t>
  </si>
  <si>
    <t>Rambu Suar</t>
  </si>
  <si>
    <t>Pelampung Suar</t>
  </si>
  <si>
    <t>Rambu Tanda Silang</t>
  </si>
  <si>
    <t>BANGUNAN PERAMBUAN PENERANGAN PANTAI</t>
  </si>
  <si>
    <t>Anak Pelampung</t>
  </si>
  <si>
    <t>Rambu Berpuncak</t>
  </si>
  <si>
    <t>BANGUNAN MENARA TELEKOMUNIKASI</t>
  </si>
  <si>
    <t>Bangunan Menara Telpon</t>
  </si>
  <si>
    <t>Bangunan Menara Radio</t>
  </si>
  <si>
    <t>Bangunan Menara Televisi</t>
  </si>
  <si>
    <t>Bangunan Menara Pengatur Lalulintas Udara</t>
  </si>
  <si>
    <t>Bangunan Menara Antena Microwave/Parabolic</t>
  </si>
  <si>
    <t>BANGUNAN MENARA PENGAWAS</t>
  </si>
  <si>
    <t>Bangunan Menara Pengawas Permanen</t>
  </si>
  <si>
    <t>Bangunan Menara Pengawas Semi Permanen</t>
  </si>
  <si>
    <t>Bangunan Menara Pengawas Semi Darurat</t>
  </si>
  <si>
    <t>BANGUNAN MENARA PERAMBUAN LAINNYA</t>
  </si>
  <si>
    <t>TUGU TITIK KONTROL/PASTI</t>
  </si>
  <si>
    <t>TUGU/TANDA BATAS</t>
  </si>
  <si>
    <t>TUGU/TANDA BATAS ADMINISTRASI</t>
  </si>
  <si>
    <t>Tugu/Tanda Batas Administrasi Negara</t>
  </si>
  <si>
    <t>Tugu/Tanda Batas Administrasi Propinsi</t>
  </si>
  <si>
    <t>Tugu/Tanda Batas Administrasi Kabupaten</t>
  </si>
  <si>
    <t>Tugu/Tanda Batas Administrasi Kotamadya</t>
  </si>
  <si>
    <t>Tugu/Tanda Batas Administrasi Kota Administratif</t>
  </si>
  <si>
    <t>Tugu/Tanda Batas Administrasi Kecamatan</t>
  </si>
  <si>
    <t>Tugu/Tanda Batas Administrasi Desa</t>
  </si>
  <si>
    <t>Tugu/Tanda Batas Administrasi Kelurahan</t>
  </si>
  <si>
    <t>Tugu/Tanda Batas Administrasi Kepemilikan</t>
  </si>
  <si>
    <t>Tugu/Tanda Batas Damija (Daerah Milik Jalan)</t>
  </si>
  <si>
    <t>Tugu/Tanda Batas Damaja (Daerah Manfaat Jalan)</t>
  </si>
  <si>
    <t>TUGU/TANDA JARING KONTROL GEODESI</t>
  </si>
  <si>
    <t>Jaring Kontrol Horisontal</t>
  </si>
  <si>
    <t>Jaring Kontrol Vertikal</t>
  </si>
  <si>
    <t>Jaring Kontrol Gaya Berat</t>
  </si>
  <si>
    <t>Jaring Kontrol Pasang Surut Paras Muka Laut</t>
  </si>
  <si>
    <t>Jaring Kontrol Pasang Surut Sungai Dan Danau</t>
  </si>
  <si>
    <t>Jaring Kontrol Pasang Surut Bumi</t>
  </si>
  <si>
    <t>Jaring Kontrol Navigasi</t>
  </si>
  <si>
    <t>PILAR/TUGU/TANDA LAINNYA</t>
  </si>
  <si>
    <t>Kerangka Dasar Kadastral Orde 2</t>
  </si>
  <si>
    <t>Kerangka Dasar Kadastral Orde 3</t>
  </si>
  <si>
    <t>Kerangka Dasar Kadastral Orde 4</t>
  </si>
  <si>
    <t>PAGAR</t>
  </si>
  <si>
    <t>Pagar Permanen</t>
  </si>
  <si>
    <t>Pagar Semi Permanen</t>
  </si>
  <si>
    <t>Pagar Darurat</t>
  </si>
  <si>
    <t>TUGU/TANDA BATAS LAINNYA</t>
  </si>
  <si>
    <t>*</t>
  </si>
  <si>
    <t>A</t>
  </si>
  <si>
    <t>B</t>
  </si>
  <si>
    <t>Bangunan Gedung Kantor</t>
  </si>
  <si>
    <t>Lain-lain</t>
  </si>
  <si>
    <t xml:space="preserve"> </t>
  </si>
  <si>
    <t xml:space="preserve">Bangunan Gudang </t>
  </si>
  <si>
    <t>Bangunan Gudang Tretutup Permanen</t>
  </si>
  <si>
    <t>Bangunan Gudang Tertutup Semi Premanen</t>
  </si>
  <si>
    <t xml:space="preserve">Bangunan Gudang Tertutup Darurat </t>
  </si>
  <si>
    <t xml:space="preserve">Bagunan Gudang Trebuka Darurat </t>
  </si>
  <si>
    <t>Bangunan Gudang Untuk Bengkel</t>
  </si>
  <si>
    <t>Bangunan Bengkel Permanen</t>
  </si>
  <si>
    <t>Bangunan Bengkel Semi Permanen</t>
  </si>
  <si>
    <t>Bangunan Bengkel Darurat</t>
  </si>
  <si>
    <t>Bangunan Gedung Instalasi</t>
  </si>
  <si>
    <t>Bangunan Gedung Instalasi Permanen</t>
  </si>
  <si>
    <t>Bangunan Gedung Instalasi Semi Permanen</t>
  </si>
  <si>
    <t>Bangunan Gedung Instalasi Darurat</t>
  </si>
  <si>
    <t>Bangunan Gedung Laboratarium</t>
  </si>
  <si>
    <t>Bangunan Gedung Laboratarium Permanen</t>
  </si>
  <si>
    <t>Bangunan Gedung Laboratarium Semi Permanen</t>
  </si>
  <si>
    <t>Bangunan Gedung Laboratarium Darurat</t>
  </si>
  <si>
    <t>Bangunan Kesehatan</t>
  </si>
  <si>
    <t xml:space="preserve">Bangunan Rumah Sakit Khusus </t>
  </si>
  <si>
    <t>Bangunan Rumah Sakit Paru-paru</t>
  </si>
  <si>
    <t>BangunanRumah Sakit Jantung</t>
  </si>
  <si>
    <t xml:space="preserve">BangunanRumah Sakit Kanker </t>
  </si>
  <si>
    <t>Bangunan Rumah Sakit Bersalin</t>
  </si>
  <si>
    <t>Bangunan Klinik/Puskesmas/Laboratarium</t>
  </si>
  <si>
    <t>Bangunan Oceanarium/Opservatorium</t>
  </si>
  <si>
    <t>Bangunan Oceanarium/Opservatorium Permanen</t>
  </si>
  <si>
    <t>Bangunan Oceanarium/Opservatorium Semi Permenen</t>
  </si>
  <si>
    <t>Bangunan Oceanarium/Opservatorium Darurat</t>
  </si>
  <si>
    <t>Lain -lain</t>
  </si>
  <si>
    <t>Bangunan Gedung Tempat Ibadah</t>
  </si>
  <si>
    <t>Bangunan Tempat Ibadah Permanen</t>
  </si>
  <si>
    <t>Bangunan Tempat Ibadah Semi Permanen</t>
  </si>
  <si>
    <t>Bangunan Tempat Ibadah Darurat</t>
  </si>
  <si>
    <t>Bangunan Gedung Tempat Pertemuan</t>
  </si>
  <si>
    <t>Bangunan Gedung Hiburan/Kesenian  Permanen</t>
  </si>
  <si>
    <t>Bangunan Gedung Hiburan/Kesenian Semi Permanen</t>
  </si>
  <si>
    <t>Bangunan Gedung Hiburan/Kesenian Darurat</t>
  </si>
  <si>
    <t>Bangunan Gedung Tempat Pendidikan</t>
  </si>
  <si>
    <t>Bangunan Gedung Pendidkan Semi Permanen</t>
  </si>
  <si>
    <t>Bangunan Gedung Tempat Olah Raga</t>
  </si>
  <si>
    <t>Bangunan Olah Raga Terutup Permanen</t>
  </si>
  <si>
    <t>Bangunan Olah Raga Tertutup Semi Permanen</t>
  </si>
  <si>
    <t>Bangunan Olah Raga Tertutup Darurat</t>
  </si>
  <si>
    <t>Bangunan Olah Raga Trebuka Permanen</t>
  </si>
  <si>
    <t>Bangunan Gedung Pertokoan/Koperasi Pasar</t>
  </si>
  <si>
    <t>Gedung Pertokoan/Koperasi Pasar Permanen</t>
  </si>
  <si>
    <t>Gedung Pertokoan/Koperasi Pasar Semi Permanen</t>
  </si>
  <si>
    <t>Gedung Pertokoan/Koperasi Pasar Darurat</t>
  </si>
  <si>
    <t>Bangunan Gedung Untuk Pos Jaga</t>
  </si>
  <si>
    <t>Gedung menara Peninjau Permanen</t>
  </si>
  <si>
    <t xml:space="preserve">Gedung Menara Peninjau Darurat </t>
  </si>
  <si>
    <t>Bangunan Gedung Garasi/Pool</t>
  </si>
  <si>
    <t>Gedung Lain-lain</t>
  </si>
  <si>
    <t xml:space="preserve"> *</t>
  </si>
  <si>
    <t>Bangunan Gedung Pemotongan Hewan</t>
  </si>
  <si>
    <t>Gedung Pemotongan Hewan Permanen</t>
  </si>
  <si>
    <t>Gedung Pemotongan Hewan Semi Permanen</t>
  </si>
  <si>
    <t>Gedung Pemotongan Hewan Darurat</t>
  </si>
  <si>
    <t>Bangunan Gedung Pabrik</t>
  </si>
  <si>
    <t>Bangunan Stasiun Bus</t>
  </si>
  <si>
    <t>Bangunan Stasiun Bus Permanen</t>
  </si>
  <si>
    <t>Bangunan Stasiun Bus Semi Permanen</t>
  </si>
  <si>
    <t>Bangunan Stasiun Bus Darurat</t>
  </si>
  <si>
    <t>Bangunan Kandang Hewan/Ternak</t>
  </si>
  <si>
    <t xml:space="preserve">Bangunan Kandang Hewan/Ternak Permanen  </t>
  </si>
  <si>
    <t>Bangunan Kandang Hewan/Ternak Semi Permanen</t>
  </si>
  <si>
    <t>Bangunan Kandang Hewan/Ternak Darurat</t>
  </si>
  <si>
    <t>Bangunan Kandang Observasi Permanen</t>
  </si>
  <si>
    <t>Bangunan Kandang Observasi Semi Permanen</t>
  </si>
  <si>
    <t>Bangunan Kandang Observasi Darurat</t>
  </si>
  <si>
    <t>Bangunan Gedung Perpustakaan</t>
  </si>
  <si>
    <t xml:space="preserve">Bangunan Gedung Musium Darurat </t>
  </si>
  <si>
    <t>Bangunan Gedung Museum</t>
  </si>
  <si>
    <t>Bangunan Gedung Museum Permanen</t>
  </si>
  <si>
    <t>Bangunan Gedung Museum Semi Permanen</t>
  </si>
  <si>
    <t>Bangunan Gedung Museum Darurat</t>
  </si>
  <si>
    <t xml:space="preserve">Lain-lain </t>
  </si>
  <si>
    <t>Bangunan Gedung Terminal/Pelabuhan/Bandar</t>
  </si>
  <si>
    <t>Bangunan Gedung Terminal/Pelabuhan/ Bandar P</t>
  </si>
  <si>
    <t>Bangunan Gedung Terminal/Pelabuhan/ Bandar SP</t>
  </si>
  <si>
    <t>Bangunan Gedung Terminal/Pelabuhan/Badar Darurat</t>
  </si>
  <si>
    <t>Bangunan Pengujian Kelaikan</t>
  </si>
  <si>
    <t>Bangunan Pengujian Kelaikan Semi Permenen</t>
  </si>
  <si>
    <t>Bangunan Lembaga Permasyarakatan</t>
  </si>
  <si>
    <t>Bangunan Gedung LP Kelas I</t>
  </si>
  <si>
    <t>Bangunan Gedung LP Kelas II</t>
  </si>
  <si>
    <t>Bangunan Rumah Tahanan</t>
  </si>
  <si>
    <t>Bangunan Gedung Kramatorium</t>
  </si>
  <si>
    <t>Bangunan gedung Kramatorium Permanen</t>
  </si>
  <si>
    <t>Bangunan Gedung Kramatorium Semi Permanen</t>
  </si>
  <si>
    <t>Bangunan Gedung Kramatorium Darurat</t>
  </si>
  <si>
    <t>Bangunan Pembakaran Bangkai Hewan</t>
  </si>
  <si>
    <t>Bangunan Pembakaran Bangkai Hewan  Permanen</t>
  </si>
  <si>
    <t>BangunanPembakaran bangkai Hewan Semi Permanen</t>
  </si>
  <si>
    <t>Bangunan Ged. Tempat Kerja Lainnya</t>
  </si>
  <si>
    <t>C</t>
  </si>
  <si>
    <t>Rumah Negara Golongan I</t>
  </si>
  <si>
    <t>Rumah Negara Golongan I Type A Permanen</t>
  </si>
  <si>
    <t>Rumah Negara Golongan I Type A Semi Permanen</t>
  </si>
  <si>
    <t>Rumah Nengara Golongan I Type A Darurat</t>
  </si>
  <si>
    <t>Rumah Negara Golongan I Type B Permanen</t>
  </si>
  <si>
    <t>Rumah Negara Golongan I Type B Semi Permanen</t>
  </si>
  <si>
    <t>Rumah Negara Golongan I Type B Darurat</t>
  </si>
  <si>
    <t>Rumah Negara Golongan I Type C Permanen</t>
  </si>
  <si>
    <t>Rumah Negara Golongan I Type C Semi Permanen</t>
  </si>
  <si>
    <t>Rumah Negara Golongan I Type C Darurat</t>
  </si>
  <si>
    <t>Rumah Negara Golongan I Type D Permanen</t>
  </si>
  <si>
    <t>Rumah Negara Golongan I Type D Semi Permanen</t>
  </si>
  <si>
    <t>Rumah Negara Golongan I Type D Darurat</t>
  </si>
  <si>
    <t>Rumah Negara Golongan I Type E Permanen</t>
  </si>
  <si>
    <t>Rumah Negara Golongan I Type E Semi Permanen</t>
  </si>
  <si>
    <t>Rumah Negara Golongan I Type E Darurat</t>
  </si>
  <si>
    <t>Rumah Negara Golongan II</t>
  </si>
  <si>
    <t>Rumah Negara Golongan II Type A Permanen</t>
  </si>
  <si>
    <t>Rumah Negara Golongan II Type Semi Permanen</t>
  </si>
  <si>
    <t>Rumah Negara Golongan II Type A Darurat</t>
  </si>
  <si>
    <t>Rumah Negara Golongan II Type B Permanen</t>
  </si>
  <si>
    <t>Rumah Negara Golongan II Type B Semi Permanen</t>
  </si>
  <si>
    <t>Rumah Negara Golongan II Type B Darurat</t>
  </si>
  <si>
    <t>Rumah Negara Golongan II Type C permanen</t>
  </si>
  <si>
    <t>Rumah Negara Golongan II Type C Semi  Permanen</t>
  </si>
  <si>
    <t>Rumah Negara Golongan II Type C Darurat</t>
  </si>
  <si>
    <t xml:space="preserve">Rumah Negara Golongan II Type D Permanen </t>
  </si>
  <si>
    <t>Rumah Negara Golongan II Type D Semi Permanen</t>
  </si>
  <si>
    <t>Rumah Negara Golongan II Type D Darurat</t>
  </si>
  <si>
    <t>Rumah Negara Golongan II Type E Permanen</t>
  </si>
  <si>
    <t>Rumah Negara Golongan II Type E Semi Permanen</t>
  </si>
  <si>
    <t>Rumah Negara Golongan II Type E Darurat</t>
  </si>
  <si>
    <t xml:space="preserve">Rumah Negara Golongan III </t>
  </si>
  <si>
    <t>Rumah Negara Golongan III Type A Permanen</t>
  </si>
  <si>
    <t>Rumah Negara Golongan III Type A Semi Permanen</t>
  </si>
  <si>
    <t>Rumah Negara Golongan III Type A Darurat</t>
  </si>
  <si>
    <t>Rumah Negara Golongan III Type B Permanen</t>
  </si>
  <si>
    <t>Rumah Negara Golongan III Type B Semi Permanen</t>
  </si>
  <si>
    <t>Rumah Negara Golongan III Type B Darurat</t>
  </si>
  <si>
    <t xml:space="preserve">Rumah Negara Golongan III Type C Permanen </t>
  </si>
  <si>
    <t>Rumah Negara Golongan III Type C Semi Permanen</t>
  </si>
  <si>
    <t>Rumah Negara Golongan III Type C Darurat</t>
  </si>
  <si>
    <t>Rumah Negara Golongan III Type D Permanen</t>
  </si>
  <si>
    <t>Rumah Negara Golongan III TypeD Semi Permanen</t>
  </si>
  <si>
    <t>Rumah Negara Golongan III Type D Darurat</t>
  </si>
  <si>
    <t>Rumah Negara Golongan III Type E Permanen</t>
  </si>
  <si>
    <t>Rumah Negara Golongan III Type E Semi Permanen</t>
  </si>
  <si>
    <t>Rumah Negara Golongan III Type E Darurat</t>
  </si>
  <si>
    <t xml:space="preserve">Mess/Wisma/Bungalaw/Tempat Peristirahatan </t>
  </si>
  <si>
    <t>Mess/Wisma/Bungalau/Tempat Peristirahatan P</t>
  </si>
  <si>
    <t>Mess/Wisma/Bungalau/Tempat Peristirahatan SP</t>
  </si>
  <si>
    <t>Mess/Wisma/Bungalaw/Tempat Peristirahatan D</t>
  </si>
  <si>
    <t xml:space="preserve">Asrama </t>
  </si>
  <si>
    <t xml:space="preserve">Asmara Semi Permanen </t>
  </si>
  <si>
    <t xml:space="preserve">Asmara Darurat </t>
  </si>
  <si>
    <t xml:space="preserve">Hotel </t>
  </si>
  <si>
    <t xml:space="preserve">Hotel Permanen </t>
  </si>
  <si>
    <t>Hotel Lainnya</t>
  </si>
  <si>
    <t>Motel</t>
  </si>
  <si>
    <t>Motel Lainnya</t>
  </si>
  <si>
    <t xml:space="preserve">Flat/Rumah Susun </t>
  </si>
  <si>
    <t xml:space="preserve">Flat/Rumah Susun Permanen </t>
  </si>
  <si>
    <t xml:space="preserve">Flat/Rumah Susun Semi Permanen </t>
  </si>
  <si>
    <t>D</t>
  </si>
  <si>
    <t>Bangunan Menara Perambuan Penerang Pantai</t>
  </si>
  <si>
    <t xml:space="preserve">Bangunan Perambut Penerangan Pantai  </t>
  </si>
  <si>
    <t>Tidak Bermenara</t>
  </si>
  <si>
    <t xml:space="preserve">Anak Pelampung </t>
  </si>
  <si>
    <t xml:space="preserve">Rambu Bermuncak </t>
  </si>
  <si>
    <t>Bangunan Menara Telekomunikasi</t>
  </si>
  <si>
    <t xml:space="preserve">MONUMEN </t>
  </si>
  <si>
    <t>E</t>
  </si>
  <si>
    <t xml:space="preserve">Bangunan Bersejarah </t>
  </si>
  <si>
    <t xml:space="preserve">Istana Peringatan </t>
  </si>
  <si>
    <t xml:space="preserve">Rumah Adat </t>
  </si>
  <si>
    <t xml:space="preserve">Rumah Peninggalan Sejarah </t>
  </si>
  <si>
    <t>Rumah Peninnggalan Sejarah</t>
  </si>
  <si>
    <t>Bangunan Tempat Ibadah Bersejarah</t>
  </si>
  <si>
    <t>Mesjid Bersejarah</t>
  </si>
  <si>
    <t>Gereja Bersejarah</t>
  </si>
  <si>
    <t>Tempat Ibadah Bersejarah Lainnya</t>
  </si>
  <si>
    <t>TUGU PERINGATAN</t>
  </si>
  <si>
    <t>F</t>
  </si>
  <si>
    <t>Candi Hindu</t>
  </si>
  <si>
    <t>Candi Bhuda</t>
  </si>
  <si>
    <t>Candi Lainnya</t>
  </si>
  <si>
    <t>Bangunan Bersejarah Lainnya</t>
  </si>
  <si>
    <t>G</t>
  </si>
  <si>
    <t>Tugu/Tanda Batas</t>
  </si>
  <si>
    <t>Tugu/ tanda batas Administrasi Negara</t>
  </si>
  <si>
    <t>Tugu/tanda Batas Administrasi Prop</t>
  </si>
  <si>
    <t>Tugu/Tanda Batas Adminstrasi Kabupaten</t>
  </si>
  <si>
    <t>Tugu/ Tanda Batas Administrasi Kota madya</t>
  </si>
  <si>
    <t>Tugu/ Tanda Batas Administrasi Kota Administratif</t>
  </si>
  <si>
    <t>Tugu/ Tanda Batas Administrasi Kec.</t>
  </si>
  <si>
    <t>Tugu/ Tanda Batas Administrasi Desa</t>
  </si>
  <si>
    <t>Tugu/ Tanda Batas Administrasi Kelerahan</t>
  </si>
  <si>
    <t>Tugu/ Tanda Batas Administrasi Kepemilikan</t>
  </si>
  <si>
    <t>1</t>
  </si>
  <si>
    <t>nomor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</si>
  <si>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</si>
  <si>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</si>
  <si>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</si>
  <si>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</si>
  <si>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</si>
  <si>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</si>
  <si>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</si>
  <si>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</si>
  <si>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</si>
  <si>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</si>
  <si>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</si>
  <si>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</si>
  <si>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</si>
  <si>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</si>
  <si>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</si>
  <si>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</si>
  <si>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</si>
  <si>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</si>
  <si>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</si>
  <si>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</si>
  <si>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</si>
  <si>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</si>
  <si>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</si>
  <si>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</si>
  <si>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</si>
  <si>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</si>
  <si>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</si>
  <si>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</si>
  <si>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</si>
  <si>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</si>
  <si>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</si>
  <si>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</si>
  <si>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</si>
  <si>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</si>
  <si>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</si>
  <si>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</si>
  <si>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</si>
  <si>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</si>
  <si>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</si>
  <si>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</si>
  <si>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</si>
  <si>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</si>
  <si>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</si>
  <si>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</si>
  <si>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</si>
  <si>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</si>
  <si>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</si>
  <si>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</si>
  <si>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</si>
  <si>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</si>
  <si>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</si>
  <si>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</si>
  <si>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</si>
  <si>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</si>
  <si>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</si>
  <si>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</si>
  <si>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</si>
  <si>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</si>
  <si>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</si>
  <si>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</si>
  <si>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</si>
  <si>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</si>
  <si>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</si>
  <si>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</si>
  <si>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</si>
  <si>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</si>
  <si>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</si>
  <si>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</si>
  <si>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</si>
  <si>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</si>
  <si>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</si>
  <si>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</si>
  <si>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</si>
  <si>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</si>
  <si>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</si>
  <si>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</si>
  <si>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</si>
  <si>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</si>
  <si>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</si>
  <si>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</si>
  <si>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</si>
  <si>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</si>
  <si>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</si>
  <si>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</si>
  <si>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</si>
  <si>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</si>
  <si>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</si>
  <si>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</si>
  <si>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</si>
  <si>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</si>
  <si>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</si>
  <si>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</si>
  <si>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</si>
  <si>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</si>
  <si>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</si>
  <si>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</si>
  <si>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</si>
  <si>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</si>
  <si>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</si>
  <si>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</si>
  <si>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</si>
  <si>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</si>
  <si>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</si>
  <si>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</si>
  <si>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</si>
  <si>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</si>
  <si>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</si>
  <si>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</si>
  <si>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</si>
  <si>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</si>
  <si>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</si>
  <si>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</si>
  <si>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</si>
  <si>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</si>
  <si>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</si>
  <si>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</si>
  <si>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</si>
  <si>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</si>
  <si>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</si>
  <si>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</si>
  <si>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</si>
  <si>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</si>
  <si>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</si>
  <si>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</si>
  <si>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</si>
  <si>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</si>
  <si>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</si>
  <si>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</si>
  <si>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</si>
  <si>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</si>
  <si>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</si>
  <si>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</si>
  <si>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</si>
  <si>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</si>
  <si>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</si>
  <si>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</si>
  <si>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</si>
  <si>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</si>
  <si>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</si>
  <si>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</si>
  <si>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</si>
  <si>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</si>
  <si>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</si>
  <si>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</si>
  <si>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</si>
  <si>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</si>
  <si>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</si>
  <si>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</si>
  <si>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</si>
  <si>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</si>
  <si>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</si>
  <si>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</si>
  <si>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</si>
  <si>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</si>
  <si>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</si>
  <si>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</si>
  <si>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</si>
  <si>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</si>
  <si>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</si>
  <si>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</si>
  <si>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</si>
  <si>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</si>
  <si>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</si>
  <si>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</si>
  <si>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</si>
  <si>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</si>
  <si>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</si>
  <si>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</si>
  <si>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</si>
  <si>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</si>
  <si>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</si>
  <si>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</si>
  <si>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</si>
  <si>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</si>
  <si>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</si>
  <si>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</si>
  <si>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</si>
  <si>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</si>
  <si>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</si>
  <si>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</si>
  <si>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</si>
  <si>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</si>
  <si>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</si>
  <si>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</si>
  <si>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</si>
  <si>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</si>
  <si>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</si>
  <si>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</si>
  <si>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</si>
  <si>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</si>
  <si>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</si>
  <si>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</si>
  <si>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</si>
  <si>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</si>
  <si>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</si>
  <si>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</si>
  <si>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</si>
  <si>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</si>
  <si>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</si>
  <si>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</si>
  <si>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</si>
  <si>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</si>
  <si>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</si>
  <si>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</si>
  <si>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</si>
  <si>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</si>
  <si>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</si>
  <si>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</si>
  <si>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</si>
  <si>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</si>
  <si>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</si>
  <si>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</si>
  <si>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</si>
  <si>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</si>
  <si>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</si>
  <si>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</si>
  <si>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</si>
  <si>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</si>
  <si>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</si>
  <si>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</si>
  <si>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</si>
  <si>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</si>
  <si>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</si>
  <si>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</si>
  <si>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</si>
  <si>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</si>
  <si>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</si>
  <si>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</si>
  <si>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</si>
  <si>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</si>
  <si>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</si>
  <si>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</si>
  <si>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</si>
  <si>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</si>
  <si>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</si>
  <si>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</si>
  <si>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</si>
  <si>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</si>
  <si>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</si>
  <si>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</si>
  <si>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</si>
  <si>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</si>
  <si>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</si>
  <si>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</si>
  <si>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</si>
  <si>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</si>
  <si>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</si>
  <si>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</si>
  <si>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</si>
  <si>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</si>
  <si>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</si>
  <si>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</si>
  <si>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</si>
  <si>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</si>
  <si>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</si>
  <si>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</si>
  <si>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</si>
  <si>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</si>
  <si>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</si>
  <si>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</si>
  <si>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</si>
  <si>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</si>
  <si>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</si>
  <si>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</si>
  <si>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</si>
  <si>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</si>
  <si>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</si>
  <si>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</si>
  <si>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</si>
  <si>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</si>
  <si>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</si>
  <si>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</si>
  <si>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</si>
  <si>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</si>
  <si>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</si>
  <si>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</si>
  <si>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</si>
  <si>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</si>
  <si>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</si>
  <si>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</si>
  <si>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</si>
  <si>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</si>
  <si>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</si>
  <si>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</si>
  <si>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</si>
  <si>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</si>
  <si>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</si>
  <si>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</si>
  <si>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</si>
  <si>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</si>
  <si>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</si>
  <si>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</si>
  <si>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</si>
  <si>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</si>
  <si>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</si>
  <si>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</si>
  <si>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</si>
  <si>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</si>
  <si>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</si>
  <si>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</si>
  <si>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</si>
  <si>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</si>
  <si>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</si>
  <si>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</si>
  <si>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</si>
  <si>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</si>
  <si>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</si>
  <si>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</si>
  <si>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</si>
  <si>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</si>
  <si>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</si>
  <si>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</si>
  <si>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</si>
  <si>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</si>
  <si>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</si>
  <si>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</si>
  <si>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</si>
  <si>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</si>
  <si>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</si>
  <si>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</si>
  <si>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</si>
  <si>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</si>
  <si>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</si>
  <si>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</si>
  <si>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</si>
  <si>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</si>
  <si>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</si>
  <si>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</si>
  <si>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</si>
  <si>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</si>
  <si>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</si>
  <si>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</si>
  <si>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</si>
  <si>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</si>
  <si>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</si>
  <si>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</si>
  <si>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</si>
  <si>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</si>
  <si>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</si>
  <si>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</si>
  <si>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</si>
  <si>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</si>
  <si>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</si>
  <si>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</si>
  <si>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</si>
  <si>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</si>
  <si>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</si>
  <si>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</si>
  <si>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</si>
  <si>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</si>
  <si>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</si>
  <si>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</si>
  <si>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</si>
  <si>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</si>
  <si>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</si>
  <si>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</si>
  <si>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</si>
  <si>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</si>
  <si>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</si>
  <si>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</si>
  <si>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</si>
  <si>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</si>
  <si>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</si>
  <si>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</si>
  <si>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</si>
  <si>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</si>
  <si>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</si>
  <si>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</si>
  <si>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</si>
  <si>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</si>
  <si>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</si>
  <si>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</si>
  <si>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</si>
  <si>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</si>
  <si>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</si>
  <si>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</si>
  <si>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</si>
  <si>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</si>
  <si>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</si>
  <si>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</si>
  <si>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</si>
  <si>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</si>
  <si>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</si>
  <si>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</si>
  <si>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</si>
  <si>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</si>
  <si>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</si>
  <si>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</si>
  <si>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</si>
  <si>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</si>
  <si>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</si>
  <si>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</si>
  <si>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</si>
  <si>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</si>
  <si>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</si>
  <si>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</si>
  <si>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</si>
  <si>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</si>
  <si>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</si>
  <si>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</si>
  <si>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</si>
  <si>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</si>
  <si>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</si>
  <si>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</si>
  <si>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</si>
  <si>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</si>
  <si>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</si>
  <si>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</si>
  <si>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</si>
  <si>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</si>
  <si>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</si>
  <si>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</si>
  <si>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</si>
  <si>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</si>
  <si>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</si>
  <si>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</si>
  <si>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</si>
  <si>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</si>
  <si>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</si>
  <si>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</si>
  <si>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</si>
  <si>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</si>
  <si>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</si>
  <si>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</si>
  <si>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</si>
  <si>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</si>
  <si>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</si>
  <si>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</si>
  <si>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</si>
  <si>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</si>
  <si>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</si>
  <si>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</si>
  <si>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</si>
  <si>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</si>
  <si>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</si>
  <si>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</si>
  <si>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</si>
  <si>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</si>
  <si>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</si>
  <si>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</si>
  <si>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</si>
  <si>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</si>
  <si>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</si>
  <si>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</si>
  <si>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</si>
  <si>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</si>
  <si>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</si>
  <si>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</si>
  <si>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</si>
  <si>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</si>
  <si>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</si>
  <si>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</si>
  <si>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</si>
  <si>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</si>
  <si>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</si>
  <si>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</si>
  <si>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</si>
  <si>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</si>
  <si>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</si>
  <si>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</si>
  <si>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</si>
  <si>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</si>
  <si>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</si>
  <si>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</si>
  <si>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</si>
  <si>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</si>
  <si>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</si>
  <si>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</si>
  <si>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</si>
  <si>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</si>
  <si>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</si>
  <si>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</si>
  <si>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</si>
  <si>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</si>
  <si>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</si>
  <si>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</si>
  <si>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</si>
  <si>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</si>
  <si>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</si>
  <si>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</si>
  <si>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</si>
  <si>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</si>
  <si>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</si>
  <si>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</si>
  <si>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</si>
  <si>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</si>
  <si>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</si>
  <si>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</si>
  <si>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</si>
  <si>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</si>
  <si>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</si>
  <si>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</si>
  <si>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</si>
  <si>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</si>
  <si>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</si>
  <si>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</si>
  <si>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</si>
  <si>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</si>
  <si>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</si>
  <si>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</si>
  <si>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</si>
  <si>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</si>
  <si>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</si>
  <si>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</si>
  <si>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</si>
  <si>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</si>
  <si>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</si>
  <si>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koreksi</t>
  </si>
  <si>
    <t>HASIL MAPPING DARI PERMENDAGRI 17/2007 KE PERMENDAGRI 108/2016</t>
  </si>
  <si>
    <t>trim</t>
  </si>
  <si>
    <t>3.11.*.*.*</t>
  </si>
  <si>
    <t>3.11.1.*.*</t>
  </si>
  <si>
    <t>3.11.1.1.*</t>
  </si>
  <si>
    <t>3.11.1.1.1</t>
  </si>
  <si>
    <t>3.11.1.1.2</t>
  </si>
  <si>
    <t>3.11.1.1.3</t>
  </si>
  <si>
    <t>....</t>
  </si>
  <si>
    <t>3.11.1.1.4</t>
  </si>
  <si>
    <t>3.11.1.2.*</t>
  </si>
  <si>
    <t>3.11.1.2.1</t>
  </si>
  <si>
    <t>3.11.1.2.2</t>
  </si>
  <si>
    <t>3.11.1.2.3</t>
  </si>
  <si>
    <t>3.11.1.2.4</t>
  </si>
  <si>
    <t>3.11.1.2.5</t>
  </si>
  <si>
    <t>3.11.1.2.6</t>
  </si>
  <si>
    <t>3.11.1.2.7</t>
  </si>
  <si>
    <t>3.11.1.3.*</t>
  </si>
  <si>
    <t>3.11.1.3.1</t>
  </si>
  <si>
    <t>3.11.1.3.2</t>
  </si>
  <si>
    <t>3.11.1.3.3</t>
  </si>
  <si>
    <t>3.11.1.3.4</t>
  </si>
  <si>
    <t>3.11.1.4.*</t>
  </si>
  <si>
    <t>3.11.1.4.4</t>
  </si>
  <si>
    <t>3.11.1.4.1</t>
  </si>
  <si>
    <t>3.11.1.4.2</t>
  </si>
  <si>
    <t>3.11.1.4.3</t>
  </si>
  <si>
    <t>3.11.1.5.*</t>
  </si>
  <si>
    <t>3.11.1.5.1</t>
  </si>
  <si>
    <t>3.11.1.5.2</t>
  </si>
  <si>
    <t>3.11.1.5.3</t>
  </si>
  <si>
    <t>3.11.1.5.4</t>
  </si>
  <si>
    <t>3.11.1.6.*</t>
  </si>
  <si>
    <t>3.11.1.6.1</t>
  </si>
  <si>
    <t>3.11.1.6.2</t>
  </si>
  <si>
    <t>3.11.1.6.3</t>
  </si>
  <si>
    <t>3.11.1.6.4</t>
  </si>
  <si>
    <t>3.11.1.6.5</t>
  </si>
  <si>
    <t>3.11.1.6.6</t>
  </si>
  <si>
    <t>3.11.1.6.7</t>
  </si>
  <si>
    <t>3.11.1.6.8</t>
  </si>
  <si>
    <t>3.11.1.6.9</t>
  </si>
  <si>
    <t>3.11.1.6.10</t>
  </si>
  <si>
    <t>3.11.1.6.11</t>
  </si>
  <si>
    <t>3.11.1.6.12</t>
  </si>
  <si>
    <t>3.11.1.7.*</t>
  </si>
  <si>
    <t>3.11.1.7.1</t>
  </si>
  <si>
    <t>3.11.1.7.2</t>
  </si>
  <si>
    <t>3.11.1.7.3</t>
  </si>
  <si>
    <t>3.11.1.7.4</t>
  </si>
  <si>
    <t>3.11.1.8.*</t>
  </si>
  <si>
    <t>3.11.1.8.1</t>
  </si>
  <si>
    <t>3.11.1.8.2</t>
  </si>
  <si>
    <t>3.11.1.8.3</t>
  </si>
  <si>
    <t>3.11.1.8.4</t>
  </si>
  <si>
    <t>3.11.1.9.*</t>
  </si>
  <si>
    <t>3.11.1.9.1</t>
  </si>
  <si>
    <t>3.11.1.9.2</t>
  </si>
  <si>
    <t>3.11.1.9.3</t>
  </si>
  <si>
    <t>3.11.1.9.7</t>
  </si>
  <si>
    <t>3.11.1.9.4</t>
  </si>
  <si>
    <t>3.11.1.9.5</t>
  </si>
  <si>
    <t>3.11.1.9.6</t>
  </si>
  <si>
    <t>3.11.1.10.*</t>
  </si>
  <si>
    <t>3.11.1.10.1</t>
  </si>
  <si>
    <t>3.11.1.10.2</t>
  </si>
  <si>
    <t>3.11.1.10.3</t>
  </si>
  <si>
    <t>3.11.1.10.4</t>
  </si>
  <si>
    <t>3.11.1.11.*</t>
  </si>
  <si>
    <t>3.11.1.11.1</t>
  </si>
  <si>
    <t>3.11.1.11.2</t>
  </si>
  <si>
    <t>3.11.1.11.3</t>
  </si>
  <si>
    <t>3.11.1.11.4</t>
  </si>
  <si>
    <t>3.11.1.11.5</t>
  </si>
  <si>
    <t>3.11.1.11.6</t>
  </si>
  <si>
    <t>3.11.1.11.7</t>
  </si>
  <si>
    <t>3.11.1.12.*</t>
  </si>
  <si>
    <t>3.11.1.12.1</t>
  </si>
  <si>
    <t>3.11.1.12.2</t>
  </si>
  <si>
    <t>3.11.1.12.3</t>
  </si>
  <si>
    <t>3.11.1.12.4</t>
  </si>
  <si>
    <t>3.11.1.13.*</t>
  </si>
  <si>
    <t>3.11.1.13.1</t>
  </si>
  <si>
    <t>3.11.1.13.2</t>
  </si>
  <si>
    <t>3.11.1.13.3</t>
  </si>
  <si>
    <t>3.11.1.13.4</t>
  </si>
  <si>
    <t>3.11.1.13.5</t>
  </si>
  <si>
    <t>3.11.1.13.6</t>
  </si>
  <si>
    <t>3.11.1.13.7</t>
  </si>
  <si>
    <t>3.11.1.14.*</t>
  </si>
  <si>
    <t>3.11.1.14.1</t>
  </si>
  <si>
    <t>3.11.1.14.2</t>
  </si>
  <si>
    <t>3.11.1.14.3</t>
  </si>
  <si>
    <t>3.11.1.14.4</t>
  </si>
  <si>
    <t>3.11.1.15. *</t>
  </si>
  <si>
    <t>3.11.1.15.1</t>
  </si>
  <si>
    <t>3.11.1.15.2</t>
  </si>
  <si>
    <t>3.11.1.15.3</t>
  </si>
  <si>
    <t>3.11.1.15.4</t>
  </si>
  <si>
    <t>3.11.1.19. *</t>
  </si>
  <si>
    <t>3.11.1.19.1</t>
  </si>
  <si>
    <t>3.11.1.19.2</t>
  </si>
  <si>
    <t>3.11.1.19.3</t>
  </si>
  <si>
    <t>3.11.1.19.4</t>
  </si>
  <si>
    <t>3.11.1.20. *</t>
  </si>
  <si>
    <t>3.11.1.20.1</t>
  </si>
  <si>
    <t>3.11.1.20.2</t>
  </si>
  <si>
    <t>3.11.1.20.3</t>
  </si>
  <si>
    <t>3.11.1.20.4</t>
  </si>
  <si>
    <t>3.11.1.21. *</t>
  </si>
  <si>
    <t>3.11.1.21.1</t>
  </si>
  <si>
    <t>3.11.1.21.2</t>
  </si>
  <si>
    <t>3.11.1.21.3</t>
  </si>
  <si>
    <t>3.11.1.21.4</t>
  </si>
  <si>
    <t>3.11.1.22.*</t>
  </si>
  <si>
    <t>3.11.1.22.1</t>
  </si>
  <si>
    <t>3.11.1.22.2</t>
  </si>
  <si>
    <t>3.11.1.22.3</t>
  </si>
  <si>
    <t>3.11.1.22.4</t>
  </si>
  <si>
    <t>3.11.1.23.*</t>
  </si>
  <si>
    <t>3.11.1.23.1</t>
  </si>
  <si>
    <t>3.11.1.23.2</t>
  </si>
  <si>
    <t>3.11.1.23.3</t>
  </si>
  <si>
    <t>3.11.1.24.*</t>
  </si>
  <si>
    <t>3.11.1.24.1</t>
  </si>
  <si>
    <t>3.11.1.24.2</t>
  </si>
  <si>
    <t>3.11.1.24.3</t>
  </si>
  <si>
    <t>3.11.1.25.*</t>
  </si>
  <si>
    <t>3.11.1.25.1</t>
  </si>
  <si>
    <t>3.11.1.25.2</t>
  </si>
  <si>
    <t>3.11.1.25.4</t>
  </si>
  <si>
    <t>3.11.1.25.5</t>
  </si>
  <si>
    <t>3.11.1.25.3</t>
  </si>
  <si>
    <t>3.11.1.26.*</t>
  </si>
  <si>
    <t>3.11.1.26.1</t>
  </si>
  <si>
    <t>3.11.1.26.2</t>
  </si>
  <si>
    <t>3.11.1.26.3</t>
  </si>
  <si>
    <t>3.11.1.26.4</t>
  </si>
  <si>
    <t>3.11.1.18. *</t>
  </si>
  <si>
    <t>3.11.1.18.1</t>
  </si>
  <si>
    <t>3.11.1.18.2</t>
  </si>
  <si>
    <t>3.11.1.18.3</t>
  </si>
  <si>
    <t>3.11.1.18.7</t>
  </si>
  <si>
    <t>3.11.1.18.4</t>
  </si>
  <si>
    <t>3.11.1.18.5</t>
  </si>
  <si>
    <t>3.11.1.18.6</t>
  </si>
  <si>
    <t>3.11.1.27.*</t>
  </si>
  <si>
    <t>3.11.1.27.1</t>
  </si>
  <si>
    <t>3.11.1.27.2</t>
  </si>
  <si>
    <t>3.11.1.27.3</t>
  </si>
  <si>
    <t>3.11.1.27.4</t>
  </si>
  <si>
    <t>3.11.1.16. *</t>
  </si>
  <si>
    <t>3.11.1.16.1</t>
  </si>
  <si>
    <t>3.11.1.16.2</t>
  </si>
  <si>
    <t>3.11.1.16.3</t>
  </si>
  <si>
    <t>3.11.1.16.4</t>
  </si>
  <si>
    <t>3.11.1.17. *</t>
  </si>
  <si>
    <t>3.11.1.17.1</t>
  </si>
  <si>
    <t>3.11.1.17.2</t>
  </si>
  <si>
    <t>3.11.1.17.3</t>
  </si>
  <si>
    <t>3.11.1.17.4</t>
  </si>
  <si>
    <t>3.11.2.*.*</t>
  </si>
  <si>
    <t>3.11.2.1.*</t>
  </si>
  <si>
    <t>3.11.2.1.1</t>
  </si>
  <si>
    <t>3.11.2.1.2</t>
  </si>
  <si>
    <t>3.11.2.1.3</t>
  </si>
  <si>
    <t>3.11.2.1.4</t>
  </si>
  <si>
    <t>3.11.2.1.5</t>
  </si>
  <si>
    <t>3.11.2.1.6</t>
  </si>
  <si>
    <t>3.11.2.1.7</t>
  </si>
  <si>
    <t>3.11.2.1.8</t>
  </si>
  <si>
    <t>3.11.2.1.9</t>
  </si>
  <si>
    <t>3.11.2.1.10</t>
  </si>
  <si>
    <t>3.11.2.1.11</t>
  </si>
  <si>
    <t>3.11.2.1.12</t>
  </si>
  <si>
    <t>3.11.2.1.13</t>
  </si>
  <si>
    <t>3.11.2.1.14</t>
  </si>
  <si>
    <t>3.11.2.1.15</t>
  </si>
  <si>
    <t>3.11.2.1.16</t>
  </si>
  <si>
    <t>3.11.2.2.*</t>
  </si>
  <si>
    <t>3.11.2.2.1</t>
  </si>
  <si>
    <t>3.11.2.2.2</t>
  </si>
  <si>
    <t>3.11.2.2.3</t>
  </si>
  <si>
    <t>3.11.2.2.4</t>
  </si>
  <si>
    <t>3.11.2.2.5</t>
  </si>
  <si>
    <t>3.11.2.2.6</t>
  </si>
  <si>
    <t>3.11.2.2.7</t>
  </si>
  <si>
    <t>3.11.2.2.8</t>
  </si>
  <si>
    <t>3.11.2.2.9</t>
  </si>
  <si>
    <t>3.11.2.2.10</t>
  </si>
  <si>
    <t>3.11.2.2.11</t>
  </si>
  <si>
    <t>3.11.2.2.12</t>
  </si>
  <si>
    <t>3.11.2.2.13</t>
  </si>
  <si>
    <t>3.11.2.2.14</t>
  </si>
  <si>
    <t>3.11.2.2.15</t>
  </si>
  <si>
    <t>3.11.2.2.16</t>
  </si>
  <si>
    <t>3.11.2.3.*</t>
  </si>
  <si>
    <t>3.11.2.3.1</t>
  </si>
  <si>
    <t>3.11.2.3.2</t>
  </si>
  <si>
    <t>3.11.2.3.3</t>
  </si>
  <si>
    <t>3.11.2.3.4</t>
  </si>
  <si>
    <t>3.11.2.3.5</t>
  </si>
  <si>
    <t>3.11.2.3.6</t>
  </si>
  <si>
    <t>3.11.2.3.7</t>
  </si>
  <si>
    <t>3.11.2.3.8</t>
  </si>
  <si>
    <t>3.11.2.3.9</t>
  </si>
  <si>
    <t>3.11.2.3.10</t>
  </si>
  <si>
    <t>3.11.2.3.11</t>
  </si>
  <si>
    <t>3.11.2.3.13</t>
  </si>
  <si>
    <t>3.11.2.3.14</t>
  </si>
  <si>
    <t>3.11.2.3.15</t>
  </si>
  <si>
    <t>3.11.2.3.16</t>
  </si>
  <si>
    <t>3.11.2.3.17</t>
  </si>
  <si>
    <t>3.11.2.4.*</t>
  </si>
  <si>
    <t>3.11.2.4.1</t>
  </si>
  <si>
    <t>3.11.2.4.2</t>
  </si>
  <si>
    <t>3.11.2.4.3</t>
  </si>
  <si>
    <t>3.11.2.4.4</t>
  </si>
  <si>
    <t>3.11.2.5.*</t>
  </si>
  <si>
    <t>3.11.2.5.1</t>
  </si>
  <si>
    <t>3.11.2.5.2</t>
  </si>
  <si>
    <t>3.11.2.5.3</t>
  </si>
  <si>
    <t>3.11.2.5.4</t>
  </si>
  <si>
    <t>3.11.2.6.*</t>
  </si>
  <si>
    <t>3.11.2.6.1</t>
  </si>
  <si>
    <t>3.11.2.6.2</t>
  </si>
  <si>
    <t>3.11.2.6.3</t>
  </si>
  <si>
    <t>3.11.2.7.*</t>
  </si>
  <si>
    <t>3.11.2.7.1</t>
  </si>
  <si>
    <t>3.11.2.7.2</t>
  </si>
  <si>
    <t>3.11.2.7.3</t>
  </si>
  <si>
    <t>3.11.2.8.*</t>
  </si>
  <si>
    <t>3.11.2.8.1</t>
  </si>
  <si>
    <t>3.11.2.8.2</t>
  </si>
  <si>
    <t>3.11.2.8.3</t>
  </si>
  <si>
    <t>3.12.*.*.*</t>
  </si>
  <si>
    <t>3.12.1.*.*</t>
  </si>
  <si>
    <t>3.12.1.1.*</t>
  </si>
  <si>
    <t>3.12.1.1.1</t>
  </si>
  <si>
    <t>3.12.1.1.2</t>
  </si>
  <si>
    <t>3.12.4.1.*</t>
  </si>
  <si>
    <t>3.12.4.1.1</t>
  </si>
  <si>
    <t>3.12.2.*.*</t>
  </si>
  <si>
    <t>3.12.2.1.*</t>
  </si>
  <si>
    <t>3.12.2.1.1</t>
  </si>
  <si>
    <t>3.12.2.1.2</t>
  </si>
  <si>
    <t>3.12.3.*.*</t>
  </si>
  <si>
    <t>3.12.3.1.*</t>
  </si>
  <si>
    <t>3.12.3.1.1</t>
  </si>
  <si>
    <t>3.12.3.1.2</t>
  </si>
  <si>
    <t>3.12.3.2.*</t>
  </si>
  <si>
    <t>3.12.3.2.1</t>
  </si>
  <si>
    <t>3.12.3.2.2</t>
  </si>
  <si>
    <t xml:space="preserve">.. . . </t>
  </si>
  <si>
    <t>3.12.3.3.*</t>
  </si>
  <si>
    <t>3.12.3.3.1</t>
  </si>
  <si>
    <t>3.12.3.3.2</t>
  </si>
  <si>
    <t>3.12.2.2.*</t>
  </si>
  <si>
    <t>3.12.2.2.1</t>
  </si>
  <si>
    <t>3.12.2.2.2</t>
  </si>
  <si>
    <t>3.12.2.3.*</t>
  </si>
  <si>
    <t>3.12.2.3.1</t>
  </si>
  <si>
    <t>3.12.2.3.2</t>
  </si>
  <si>
    <t>3.12.1.2.*</t>
  </si>
  <si>
    <t>3.12.1.2.1</t>
  </si>
  <si>
    <t>3.12.1.2.2</t>
  </si>
  <si>
    <t>3.12.1.30.*</t>
  </si>
  <si>
    <t>3.12.1.3.1</t>
  </si>
  <si>
    <t>3.12.1.3.2</t>
  </si>
  <si>
    <t>3.12.1.4.*</t>
  </si>
  <si>
    <t>3.12.1.4.1</t>
  </si>
  <si>
    <t>3.12.1.4.2</t>
  </si>
  <si>
    <t>3.12.1.5.*</t>
  </si>
  <si>
    <t>3.12.1.5.1</t>
  </si>
  <si>
    <t>3.12.1.5.2</t>
  </si>
  <si>
    <t>3.12.1.5.3</t>
  </si>
  <si>
    <t>3.12.1.5.4</t>
  </si>
  <si>
    <t>3.11.3.*.*</t>
  </si>
  <si>
    <t>3.11.3.1.*</t>
  </si>
  <si>
    <t>3.11.3.1.1</t>
  </si>
  <si>
    <t>3.11.3.1.2</t>
  </si>
  <si>
    <t>3.11.3.1.3</t>
  </si>
  <si>
    <t>3.11.3.2.*</t>
  </si>
  <si>
    <t>3.11.3.2.1</t>
  </si>
  <si>
    <t>3.11.3.2.2</t>
  </si>
  <si>
    <t>3.11.3.2.3</t>
  </si>
  <si>
    <t>.. . .</t>
  </si>
  <si>
    <t>3.11.3.3.*</t>
  </si>
  <si>
    <t>3.11.3.3.1</t>
  </si>
  <si>
    <t>3.11.3.3.2</t>
  </si>
  <si>
    <t>3.11.3.3.3</t>
  </si>
  <si>
    <t>3.11.3.3.4</t>
  </si>
  <si>
    <t>3.11.3.3.5</t>
  </si>
  <si>
    <t>3.12.6.1.*</t>
  </si>
  <si>
    <t>3.12.6.1.1</t>
  </si>
  <si>
    <t>3.12.6.1.2</t>
  </si>
  <si>
    <t>3.12.6.1.3</t>
  </si>
  <si>
    <t>3.12.6.1.4</t>
  </si>
  <si>
    <t>3.12.6.1.5</t>
  </si>
  <si>
    <t>3.12.6.1.6</t>
  </si>
  <si>
    <t>3.12.6.1.7</t>
  </si>
  <si>
    <t>3.12.6.1.8</t>
  </si>
  <si>
    <t>3.12.6.1.9</t>
  </si>
  <si>
    <t>3.12.6.1.10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</si>
</sst>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"/>
      <scheme val="minor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name val="Bookman Old Style"/>
      <family val="1"/>
    </font>
    <font>
      <sz val="8"/>
      <name val="Bookman Old Style"/>
      <family val="1"/>
    </font>
    <font>
      <sz val="9"/>
      <color indexed="8"/>
      <name val="Bookman Old Style"/>
      <family val="1"/>
    </font>
    <font>
      <sz val="9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Fill="1" applyBorder="1" applyAlignment="1">
      <alignment horizontal="center" vertical="center" textRotation="255" wrapText="1"/>
    </xf>
    <xf numFmtId="0" fontId="2" fillId="0" borderId="1" xfId="0" applyFont="1" applyFill="1" applyBorder="1" applyAlignment="1">
      <alignment horizontal="center" vertical="center" textRotation="255" wrapText="1"/>
    </xf>
    <xf numFmtId="0" fontId="3" fillId="0" borderId="1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/>
    </xf>
    <xf numFmtId="1" fontId="4" fillId="0" borderId="1" xfId="0" quotePrefix="1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0" fillId="0" borderId="0" xfId="0" applyBorder="1" applyAlignment="1"/>
    <xf numFmtId="0" fontId="0" fillId="0" borderId="0" xfId="0" applyBorder="1"/>
    <xf numFmtId="0" fontId="0" fillId="0" borderId="1" xfId="0" applyBorder="1" applyAlignment="1"/>
    <xf numFmtId="0" fontId="0" fillId="0" borderId="1" xfId="0" applyBorder="1"/>
    <xf numFmtId="0" fontId="7" fillId="0" borderId="1" xfId="0" applyFont="1" applyFill="1" applyBorder="1"/>
    <xf numFmtId="0" fontId="0" fillId="0" borderId="0" xfId="0" quotePrefix="1"/>
    <xf numFmtId="0" fontId="7" fillId="0" borderId="1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1" fontId="4" fillId="2" borderId="1" xfId="0" applyNumberFormat="1" applyFont="1" applyFill="1" applyBorder="1" applyAlignment="1">
      <alignment horizontal="center" vertical="center"/>
    </xf>
    <xf numFmtId="1" fontId="4" fillId="2" borderId="1" xfId="0" quotePrefix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/>
    <xf numFmtId="0" fontId="0" fillId="2" borderId="1" xfId="0" applyFill="1" applyBorder="1"/>
    <xf numFmtId="0" fontId="0" fillId="2" borderId="0" xfId="0" applyFill="1" applyBorder="1" applyAlignment="1"/>
    <xf numFmtId="0" fontId="0" fillId="2" borderId="0" xfId="0" applyFill="1" applyBorder="1"/>
    <xf numFmtId="1" fontId="4" fillId="3" borderId="1" xfId="0" applyNumberFormat="1" applyFont="1" applyFill="1" applyBorder="1" applyAlignment="1">
      <alignment horizontal="center" vertical="center"/>
    </xf>
    <xf numFmtId="1" fontId="4" fillId="3" borderId="1" xfId="0" quotePrefix="1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1" fontId="6" fillId="0" borderId="1" xfId="0" quotePrefix="1" applyNumberFormat="1" applyFont="1" applyFill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0" fillId="0" borderId="1" xfId="0" applyNumberFormat="1" applyBorder="1"/>
    <xf numFmtId="1" fontId="7" fillId="0" borderId="1" xfId="0" quotePrefix="1" applyNumberFormat="1" applyFont="1" applyFill="1" applyBorder="1" applyAlignment="1">
      <alignment horizontal="center"/>
    </xf>
    <xf numFmtId="1" fontId="0" fillId="0" borderId="0" xfId="0" applyNumberFormat="1" applyBorder="1"/>
    <xf numFmtId="1" fontId="0" fillId="0" borderId="0" xfId="0" applyNumberFormat="1"/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396</xdr:row>
      <xdr:rowOff>152400</xdr:rowOff>
    </xdr:from>
    <xdr:to>
      <xdr:col>17</xdr:col>
      <xdr:colOff>95250</xdr:colOff>
      <xdr:row>401</xdr:row>
      <xdr:rowOff>190500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>
          <a:spLocks/>
        </xdr:cNvSpPr>
      </xdr:nvSpPr>
      <xdr:spPr bwMode="auto">
        <a:xfrm>
          <a:off x="7286625" y="93754575"/>
          <a:ext cx="247650" cy="1181100"/>
        </a:xfrm>
        <a:prstGeom prst="rightBrace">
          <a:avLst>
            <a:gd name="adj1" fmla="val 8368"/>
            <a:gd name="adj2" fmla="val 50000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403</xdr:row>
      <xdr:rowOff>142875</xdr:rowOff>
    </xdr:from>
    <xdr:to>
      <xdr:col>17</xdr:col>
      <xdr:colOff>95250</xdr:colOff>
      <xdr:row>408</xdr:row>
      <xdr:rowOff>200025</xdr:rowOff>
    </xdr:to>
    <xdr:sp macro="" textlink="">
      <xdr:nvSpPr>
        <xdr:cNvPr id="4" name="Right Brace 9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>
          <a:spLocks/>
        </xdr:cNvSpPr>
      </xdr:nvSpPr>
      <xdr:spPr bwMode="auto">
        <a:xfrm>
          <a:off x="7286625" y="95345250"/>
          <a:ext cx="247650" cy="1200150"/>
        </a:xfrm>
        <a:prstGeom prst="rightBrace">
          <a:avLst>
            <a:gd name="adj1" fmla="val 8503"/>
            <a:gd name="adj2" fmla="val 50000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410</xdr:row>
      <xdr:rowOff>142875</xdr:rowOff>
    </xdr:from>
    <xdr:to>
      <xdr:col>17</xdr:col>
      <xdr:colOff>95250</xdr:colOff>
      <xdr:row>415</xdr:row>
      <xdr:rowOff>200025</xdr:rowOff>
    </xdr:to>
    <xdr:sp macro="" textlink="">
      <xdr:nvSpPr>
        <xdr:cNvPr id="5" name="Right Brace 10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>
          <a:spLocks/>
        </xdr:cNvSpPr>
      </xdr:nvSpPr>
      <xdr:spPr bwMode="auto">
        <a:xfrm>
          <a:off x="7286625" y="96945450"/>
          <a:ext cx="247650" cy="1200150"/>
        </a:xfrm>
        <a:prstGeom prst="rightBrace">
          <a:avLst>
            <a:gd name="adj1" fmla="val 8503"/>
            <a:gd name="adj2" fmla="val 50000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416</xdr:row>
      <xdr:rowOff>142875</xdr:rowOff>
    </xdr:from>
    <xdr:to>
      <xdr:col>17</xdr:col>
      <xdr:colOff>95250</xdr:colOff>
      <xdr:row>421</xdr:row>
      <xdr:rowOff>200025</xdr:rowOff>
    </xdr:to>
    <xdr:sp macro="" textlink="">
      <xdr:nvSpPr>
        <xdr:cNvPr id="6" name="Right Brace 11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/>
        </xdr:cNvSpPr>
      </xdr:nvSpPr>
      <xdr:spPr bwMode="auto">
        <a:xfrm>
          <a:off x="7286625" y="98317050"/>
          <a:ext cx="247650" cy="1200150"/>
        </a:xfrm>
        <a:prstGeom prst="rightBrace">
          <a:avLst>
            <a:gd name="adj1" fmla="val 8503"/>
            <a:gd name="adj2" fmla="val 50000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423</xdr:row>
      <xdr:rowOff>133350</xdr:rowOff>
    </xdr:from>
    <xdr:to>
      <xdr:col>17</xdr:col>
      <xdr:colOff>57150</xdr:colOff>
      <xdr:row>426</xdr:row>
      <xdr:rowOff>152400</xdr:rowOff>
    </xdr:to>
    <xdr:sp macro="" textlink="">
      <xdr:nvSpPr>
        <xdr:cNvPr id="7" name="Right Brace 12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>
          <a:spLocks/>
        </xdr:cNvSpPr>
      </xdr:nvSpPr>
      <xdr:spPr bwMode="auto">
        <a:xfrm>
          <a:off x="7277100" y="99907725"/>
          <a:ext cx="219075" cy="704850"/>
        </a:xfrm>
        <a:prstGeom prst="rightBrace">
          <a:avLst>
            <a:gd name="adj1" fmla="val 8937"/>
            <a:gd name="adj2" fmla="val 50000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428</xdr:row>
      <xdr:rowOff>114300</xdr:rowOff>
    </xdr:from>
    <xdr:to>
      <xdr:col>17</xdr:col>
      <xdr:colOff>57150</xdr:colOff>
      <xdr:row>436</xdr:row>
      <xdr:rowOff>200025</xdr:rowOff>
    </xdr:to>
    <xdr:sp macro="" textlink="">
      <xdr:nvSpPr>
        <xdr:cNvPr id="8" name="Right Brace 4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>
          <a:spLocks/>
        </xdr:cNvSpPr>
      </xdr:nvSpPr>
      <xdr:spPr bwMode="auto">
        <a:xfrm>
          <a:off x="7277100" y="101031675"/>
          <a:ext cx="219075" cy="1914525"/>
        </a:xfrm>
        <a:prstGeom prst="rightBrace">
          <a:avLst>
            <a:gd name="adj1" fmla="val 8375"/>
            <a:gd name="adj2" fmla="val 50000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438</xdr:row>
      <xdr:rowOff>104775</xdr:rowOff>
    </xdr:from>
    <xdr:to>
      <xdr:col>17</xdr:col>
      <xdr:colOff>57150</xdr:colOff>
      <xdr:row>442</xdr:row>
      <xdr:rowOff>200025</xdr:rowOff>
    </xdr:to>
    <xdr:sp macro="" textlink="">
      <xdr:nvSpPr>
        <xdr:cNvPr id="9" name="Right Brace 15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>
          <a:spLocks/>
        </xdr:cNvSpPr>
      </xdr:nvSpPr>
      <xdr:spPr bwMode="auto">
        <a:xfrm>
          <a:off x="7248525" y="103308150"/>
          <a:ext cx="247650" cy="1009650"/>
        </a:xfrm>
        <a:prstGeom prst="rightBrace">
          <a:avLst>
            <a:gd name="adj1" fmla="val 8758"/>
            <a:gd name="adj2" fmla="val 50000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3"/>
  <sheetViews>
    <sheetView tabSelected="1" topLeftCell="B479" zoomScale="80" zoomScaleNormal="80" workbookViewId="0">
      <selection activeCell="K491" sqref="K491"/>
    </sheetView>
  </sheetViews>
  <sheetFormatPr defaultColWidth="14.140625" defaultRowHeight="26.25" customHeight="1" x14ac:dyDescent="0.25"/>
  <cols>
    <col min="4" max="4" width="22.5703125" customWidth="1"/>
    <col min="5" max="5" width="8.42578125" customWidth="1"/>
    <col min="6" max="12" width="8.28515625" customWidth="1"/>
    <col min="13" max="13" width="37.5703125" customWidth="1"/>
    <col min="14" max="14" width="15.140625" hidden="1" customWidth="1"/>
    <col min="15" max="15" width="0" hidden="1" customWidth="1"/>
    <col min="17" max="17" width="8" customWidth="1"/>
    <col min="18" max="22" width="9.7109375" customWidth="1"/>
    <col min="23" max="23" width="50.42578125" customWidth="1"/>
    <col min="24" max="24" width="15" hidden="1" customWidth="1"/>
  </cols>
  <sheetData>
    <row r="1" spans="1:26" ht="26.25" customHeight="1" x14ac:dyDescent="0.25">
      <c r="R1" s="33" t="s">
        <v>1121</v>
      </c>
      <c r="S1" s="34"/>
      <c r="T1" s="34"/>
      <c r="U1" s="34"/>
      <c r="V1" s="34"/>
      <c r="W1" s="34"/>
      <c r="X1" s="34"/>
      <c r="Y1" s="34"/>
      <c r="Z1" s="35"/>
    </row>
    <row r="2" spans="1:26" ht="26.25" customHeight="1" x14ac:dyDescent="0.25">
      <c r="F2" s="33" t="s">
        <v>0</v>
      </c>
      <c r="G2" s="34"/>
      <c r="H2" s="34"/>
      <c r="I2" s="34"/>
      <c r="J2" s="34"/>
      <c r="K2" s="34"/>
      <c r="L2" s="34"/>
      <c r="M2" s="35"/>
      <c r="N2" s="14"/>
      <c r="R2" s="39"/>
      <c r="S2" s="40"/>
      <c r="T2" s="40"/>
      <c r="U2" s="40"/>
      <c r="V2" s="40"/>
      <c r="W2" s="40"/>
      <c r="X2" s="40"/>
      <c r="Y2" s="40"/>
      <c r="Z2" s="41"/>
    </row>
    <row r="3" spans="1:26" ht="26.25" customHeight="1" x14ac:dyDescent="0.25">
      <c r="F3" s="36"/>
      <c r="G3" s="37"/>
      <c r="H3" s="37"/>
      <c r="I3" s="37"/>
      <c r="J3" s="37"/>
      <c r="K3" s="37"/>
      <c r="L3" s="37"/>
      <c r="M3" s="38"/>
      <c r="N3" s="14"/>
      <c r="R3" s="36"/>
      <c r="S3" s="37"/>
      <c r="T3" s="37"/>
      <c r="U3" s="37"/>
      <c r="V3" s="37"/>
      <c r="W3" s="37"/>
      <c r="X3" s="37"/>
      <c r="Y3" s="37"/>
      <c r="Z3" s="38"/>
    </row>
    <row r="4" spans="1:26" ht="26.25" customHeight="1" x14ac:dyDescent="0.25">
      <c r="E4" t="s">
        <v>612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2" t="s">
        <v>7</v>
      </c>
      <c r="M4" s="3" t="s">
        <v>8</v>
      </c>
      <c r="N4" s="15" t="s">
        <v>1122</v>
      </c>
      <c r="O4" t="s">
        <v>1120</v>
      </c>
      <c r="Q4" t="s">
        <v>612</v>
      </c>
      <c r="R4" s="10"/>
      <c r="S4" s="10"/>
      <c r="T4" s="10"/>
      <c r="U4" s="10"/>
      <c r="V4" s="10"/>
      <c r="W4" s="10"/>
      <c r="X4" s="10" t="s">
        <v>1122</v>
      </c>
      <c r="Y4" s="10"/>
      <c r="Z4" s="10"/>
    </row>
    <row r="5" spans="1:26" ht="26.25" customHeight="1" x14ac:dyDescent="0.25">
      <c r="A5" s="12"/>
      <c r="B5" s="12"/>
      <c r="C5" s="12"/>
      <c r="E5" s="12" t="s">
        <v>611</v>
      </c>
      <c r="F5" s="12" t="s">
        <v>613</v>
      </c>
      <c r="G5" s="12" t="s">
        <v>614</v>
      </c>
      <c r="H5" s="12" t="s">
        <v>615</v>
      </c>
      <c r="I5" s="12" t="s">
        <v>616</v>
      </c>
      <c r="J5" s="12" t="s">
        <v>617</v>
      </c>
      <c r="K5" s="12" t="s">
        <v>618</v>
      </c>
      <c r="L5" s="12" t="s">
        <v>619</v>
      </c>
      <c r="M5" s="12" t="s">
        <v>620</v>
      </c>
      <c r="N5" s="12"/>
      <c r="O5" s="12" t="s">
        <v>621</v>
      </c>
      <c r="P5" s="12"/>
      <c r="Q5" s="12" t="s">
        <v>622</v>
      </c>
      <c r="R5" s="12" t="s">
        <v>623</v>
      </c>
      <c r="S5" s="12" t="s">
        <v>624</v>
      </c>
      <c r="T5" s="12" t="s">
        <v>625</v>
      </c>
      <c r="U5" s="12" t="s">
        <v>626</v>
      </c>
      <c r="V5" s="12" t="s">
        <v>627</v>
      </c>
      <c r="W5" s="12" t="s">
        <v>628</v>
      </c>
      <c r="X5" s="12"/>
    </row>
    <row r="6" spans="1:26" ht="26.25" customHeight="1" x14ac:dyDescent="0.25">
      <c r="E6" s="12" t="s">
        <v>611</v>
      </c>
      <c r="F6" s="17">
        <v>1</v>
      </c>
      <c r="G6" s="17">
        <v>3</v>
      </c>
      <c r="H6" s="17">
        <v>3</v>
      </c>
      <c r="I6" s="17"/>
      <c r="J6" s="17"/>
      <c r="K6" s="18"/>
      <c r="L6" s="18"/>
      <c r="M6" s="19" t="s">
        <v>9</v>
      </c>
      <c r="N6" s="6" t="str">
        <f>TRIM(M6)</f>
        <v>GEDUNG DAN BANGUNAN</v>
      </c>
      <c r="O6" t="b">
        <f t="shared" ref="O6:O44" si="0">M6=W6</f>
        <v>0</v>
      </c>
      <c r="Q6" s="12" t="s">
        <v>611</v>
      </c>
      <c r="X6" t="str">
        <f>TRIM(W6)</f>
        <v/>
      </c>
    </row>
    <row r="7" spans="1:26" ht="26.25" customHeight="1" x14ac:dyDescent="0.25">
      <c r="A7" t="s">
        <v>1123</v>
      </c>
      <c r="B7" t="str">
        <f t="shared" ref="B7:B70" si="1">R7&amp;"."&amp;S7&amp;"."&amp;T7&amp;"."&amp;U7&amp;"."&amp;V7</f>
        <v>3.11.*.*.*</v>
      </c>
      <c r="C7" t="str">
        <f t="shared" ref="C7:C70" si="2">IF(R7&lt;&gt;"",IF(F7="","Keluar","Berubah"),"Bertambah")</f>
        <v>Berubah</v>
      </c>
      <c r="D7" t="str">
        <f t="shared" ref="D7:D71" si="3">F7&amp;"."&amp;G7&amp;"."&amp;H7&amp;"."&amp;I7&amp;"."&amp;J7&amp;"."&amp;K7&amp;"."&amp;L7</f>
        <v>1.3.3.01...</v>
      </c>
      <c r="E7" s="12" t="s">
        <v>613</v>
      </c>
      <c r="F7" s="4">
        <v>1</v>
      </c>
      <c r="G7" s="4">
        <v>3</v>
      </c>
      <c r="H7" s="4">
        <v>3</v>
      </c>
      <c r="I7" s="5" t="s">
        <v>10</v>
      </c>
      <c r="J7" s="4"/>
      <c r="K7" s="5"/>
      <c r="L7" s="5"/>
      <c r="M7" s="6" t="s">
        <v>11</v>
      </c>
      <c r="N7" s="6" t="str">
        <f t="shared" ref="N7:N44" si="4">TRIM(M7)</f>
        <v>BANGUNAN GEDUNG</v>
      </c>
      <c r="O7" t="b">
        <f t="shared" si="0"/>
        <v>1</v>
      </c>
      <c r="Q7" s="12" t="s">
        <v>613</v>
      </c>
      <c r="R7" s="27">
        <v>3</v>
      </c>
      <c r="S7" s="28">
        <v>11</v>
      </c>
      <c r="T7" s="28" t="s">
        <v>411</v>
      </c>
      <c r="U7" s="28" t="s">
        <v>411</v>
      </c>
      <c r="V7" s="28" t="s">
        <v>411</v>
      </c>
      <c r="W7" s="11" t="s">
        <v>11</v>
      </c>
      <c r="X7" t="str">
        <f t="shared" ref="X7:X44" si="5">TRIM(W7)</f>
        <v>BANGUNAN GEDUNG</v>
      </c>
      <c r="Y7" s="13" t="s">
        <v>412</v>
      </c>
      <c r="Z7" s="13">
        <v>1</v>
      </c>
    </row>
    <row r="8" spans="1:26" ht="26.25" customHeight="1" x14ac:dyDescent="0.25">
      <c r="A8" t="s">
        <v>1124</v>
      </c>
      <c r="B8" t="str">
        <f t="shared" si="1"/>
        <v>3.11.1.*.*</v>
      </c>
      <c r="C8" t="str">
        <f t="shared" si="2"/>
        <v>Berubah</v>
      </c>
      <c r="D8" t="str">
        <f t="shared" si="3"/>
        <v>1.3.3.01.01..</v>
      </c>
      <c r="E8" s="12" t="s">
        <v>614</v>
      </c>
      <c r="F8" s="4">
        <v>1</v>
      </c>
      <c r="G8" s="4">
        <v>3</v>
      </c>
      <c r="H8" s="4">
        <v>3</v>
      </c>
      <c r="I8" s="5" t="s">
        <v>10</v>
      </c>
      <c r="J8" s="5" t="s">
        <v>10</v>
      </c>
      <c r="K8" s="5"/>
      <c r="L8" s="5"/>
      <c r="M8" s="6" t="s">
        <v>12</v>
      </c>
      <c r="N8" s="6" t="str">
        <f t="shared" si="4"/>
        <v>BANGUNAN GEDUNG TEMPAT KERJA</v>
      </c>
      <c r="O8" t="b">
        <f t="shared" si="0"/>
        <v>1</v>
      </c>
      <c r="Q8" s="12" t="s">
        <v>614</v>
      </c>
      <c r="R8" s="27">
        <v>3</v>
      </c>
      <c r="S8" s="28">
        <v>11</v>
      </c>
      <c r="T8" s="28">
        <v>1</v>
      </c>
      <c r="U8" s="28" t="s">
        <v>411</v>
      </c>
      <c r="V8" s="28" t="s">
        <v>411</v>
      </c>
      <c r="W8" s="11" t="s">
        <v>12</v>
      </c>
      <c r="X8" t="str">
        <f t="shared" si="5"/>
        <v>BANGUNAN GEDUNG TEMPAT KERJA</v>
      </c>
      <c r="Y8" s="13" t="s">
        <v>413</v>
      </c>
      <c r="Z8" s="13">
        <v>1</v>
      </c>
    </row>
    <row r="9" spans="1:26" ht="26.25" customHeight="1" x14ac:dyDescent="0.25">
      <c r="A9" t="s">
        <v>1125</v>
      </c>
      <c r="B9" t="str">
        <f t="shared" si="1"/>
        <v>3.11.1.1.*</v>
      </c>
      <c r="C9" t="str">
        <f t="shared" si="2"/>
        <v>Berubah</v>
      </c>
      <c r="D9" t="str">
        <f t="shared" si="3"/>
        <v>1.3.3.01.01.01.</v>
      </c>
      <c r="E9" s="12" t="s">
        <v>615</v>
      </c>
      <c r="F9" s="4">
        <v>1</v>
      </c>
      <c r="G9" s="4">
        <v>3</v>
      </c>
      <c r="H9" s="4">
        <v>3</v>
      </c>
      <c r="I9" s="5" t="s">
        <v>10</v>
      </c>
      <c r="J9" s="5" t="s">
        <v>10</v>
      </c>
      <c r="K9" s="5" t="s">
        <v>10</v>
      </c>
      <c r="L9" s="5"/>
      <c r="M9" s="6" t="s">
        <v>13</v>
      </c>
      <c r="N9" s="6" t="str">
        <f t="shared" si="4"/>
        <v>BANGUNAN GEDUNG KANTOR</v>
      </c>
      <c r="O9" t="b">
        <f t="shared" si="0"/>
        <v>1</v>
      </c>
      <c r="Q9" s="12" t="s">
        <v>615</v>
      </c>
      <c r="R9" s="27">
        <v>3</v>
      </c>
      <c r="S9" s="28">
        <v>11</v>
      </c>
      <c r="T9" s="28">
        <v>1</v>
      </c>
      <c r="U9" s="28">
        <v>1</v>
      </c>
      <c r="V9" s="28" t="s">
        <v>411</v>
      </c>
      <c r="W9" s="11" t="s">
        <v>414</v>
      </c>
      <c r="X9" t="str">
        <f t="shared" si="5"/>
        <v>Bangunan Gedung Kantor</v>
      </c>
      <c r="Y9" s="13" t="s">
        <v>413</v>
      </c>
      <c r="Z9" s="13">
        <v>2</v>
      </c>
    </row>
    <row r="10" spans="1:26" ht="26.25" customHeight="1" x14ac:dyDescent="0.25">
      <c r="A10" t="s">
        <v>1126</v>
      </c>
      <c r="B10" t="str">
        <f t="shared" si="1"/>
        <v>3.11.1.1.1</v>
      </c>
      <c r="C10" t="str">
        <f t="shared" si="2"/>
        <v>Berubah</v>
      </c>
      <c r="D10" t="str">
        <f t="shared" si="3"/>
        <v>1.3.3.01.01.01.001</v>
      </c>
      <c r="E10" s="12" t="s">
        <v>616</v>
      </c>
      <c r="F10" s="4">
        <v>1</v>
      </c>
      <c r="G10" s="4">
        <v>3</v>
      </c>
      <c r="H10" s="4">
        <v>3</v>
      </c>
      <c r="I10" s="5" t="s">
        <v>10</v>
      </c>
      <c r="J10" s="5" t="s">
        <v>10</v>
      </c>
      <c r="K10" s="5" t="s">
        <v>10</v>
      </c>
      <c r="L10" s="5" t="s">
        <v>14</v>
      </c>
      <c r="M10" s="6" t="s">
        <v>15</v>
      </c>
      <c r="N10" s="6" t="str">
        <f t="shared" si="4"/>
        <v>Bangunan Gedung Kantor Permanen</v>
      </c>
      <c r="O10" t="b">
        <f t="shared" si="0"/>
        <v>1</v>
      </c>
      <c r="Q10" s="12" t="s">
        <v>616</v>
      </c>
      <c r="R10" s="27">
        <v>3</v>
      </c>
      <c r="S10" s="28">
        <v>11</v>
      </c>
      <c r="T10" s="28">
        <v>1</v>
      </c>
      <c r="U10" s="28">
        <v>1</v>
      </c>
      <c r="V10" s="28">
        <v>1</v>
      </c>
      <c r="W10" s="11" t="s">
        <v>15</v>
      </c>
      <c r="X10" t="str">
        <f t="shared" si="5"/>
        <v>Bangunan Gedung Kantor Permanen</v>
      </c>
      <c r="Y10" s="13" t="s">
        <v>413</v>
      </c>
      <c r="Z10" s="13">
        <v>3</v>
      </c>
    </row>
    <row r="11" spans="1:26" ht="26.25" customHeight="1" x14ac:dyDescent="0.25">
      <c r="A11" t="s">
        <v>1127</v>
      </c>
      <c r="B11" t="str">
        <f t="shared" si="1"/>
        <v>3.11.1.1.2</v>
      </c>
      <c r="C11" t="str">
        <f t="shared" si="2"/>
        <v>Berubah</v>
      </c>
      <c r="D11" t="str">
        <f t="shared" si="3"/>
        <v>1.3.3.01.01.01.002</v>
      </c>
      <c r="E11" s="12" t="s">
        <v>617</v>
      </c>
      <c r="F11" s="4">
        <v>1</v>
      </c>
      <c r="G11" s="4">
        <v>3</v>
      </c>
      <c r="H11" s="4">
        <v>3</v>
      </c>
      <c r="I11" s="5" t="s">
        <v>10</v>
      </c>
      <c r="J11" s="5" t="s">
        <v>10</v>
      </c>
      <c r="K11" s="5" t="s">
        <v>10</v>
      </c>
      <c r="L11" s="5" t="s">
        <v>16</v>
      </c>
      <c r="M11" s="6" t="s">
        <v>17</v>
      </c>
      <c r="N11" s="6" t="str">
        <f t="shared" si="4"/>
        <v>Bangunan Gedung Kantor Semi Permanen</v>
      </c>
      <c r="O11" t="b">
        <f t="shared" si="0"/>
        <v>1</v>
      </c>
      <c r="Q11" s="12" t="s">
        <v>617</v>
      </c>
      <c r="R11" s="27">
        <v>3</v>
      </c>
      <c r="S11" s="28">
        <v>11</v>
      </c>
      <c r="T11" s="28">
        <v>1</v>
      </c>
      <c r="U11" s="28">
        <v>1</v>
      </c>
      <c r="V11" s="28">
        <v>2</v>
      </c>
      <c r="W11" s="11" t="s">
        <v>17</v>
      </c>
      <c r="X11" t="str">
        <f t="shared" si="5"/>
        <v>Bangunan Gedung Kantor Semi Permanen</v>
      </c>
      <c r="Y11" s="13" t="s">
        <v>413</v>
      </c>
      <c r="Z11" s="13">
        <v>4</v>
      </c>
    </row>
    <row r="12" spans="1:26" ht="26.25" customHeight="1" x14ac:dyDescent="0.25">
      <c r="A12" t="s">
        <v>1128</v>
      </c>
      <c r="B12" t="str">
        <f t="shared" si="1"/>
        <v>3.11.1.1.3</v>
      </c>
      <c r="C12" t="str">
        <f t="shared" si="2"/>
        <v>Berubah</v>
      </c>
      <c r="D12" t="str">
        <f t="shared" si="3"/>
        <v>1.3.3.01.01.01.003</v>
      </c>
      <c r="E12" s="12" t="s">
        <v>618</v>
      </c>
      <c r="F12" s="4">
        <v>1</v>
      </c>
      <c r="G12" s="4">
        <v>3</v>
      </c>
      <c r="H12" s="4">
        <v>3</v>
      </c>
      <c r="I12" s="5" t="s">
        <v>10</v>
      </c>
      <c r="J12" s="5" t="s">
        <v>10</v>
      </c>
      <c r="K12" s="5" t="s">
        <v>10</v>
      </c>
      <c r="L12" s="5" t="s">
        <v>18</v>
      </c>
      <c r="M12" s="6" t="s">
        <v>19</v>
      </c>
      <c r="N12" s="6" t="str">
        <f t="shared" si="4"/>
        <v>Bangunan Gedung Kantor Darurat</v>
      </c>
      <c r="O12" t="b">
        <f t="shared" si="0"/>
        <v>1</v>
      </c>
      <c r="Q12" s="12" t="s">
        <v>618</v>
      </c>
      <c r="R12" s="27">
        <v>3</v>
      </c>
      <c r="S12" s="28">
        <v>11</v>
      </c>
      <c r="T12" s="28">
        <v>1</v>
      </c>
      <c r="U12" s="28">
        <v>1</v>
      </c>
      <c r="V12" s="28">
        <v>3</v>
      </c>
      <c r="W12" s="11" t="s">
        <v>19</v>
      </c>
      <c r="X12" t="str">
        <f t="shared" si="5"/>
        <v>Bangunan Gedung Kantor Darurat</v>
      </c>
      <c r="Y12" s="13" t="s">
        <v>413</v>
      </c>
      <c r="Z12" s="13">
        <v>5</v>
      </c>
    </row>
    <row r="13" spans="1:26" ht="26.25" customHeight="1" x14ac:dyDescent="0.25">
      <c r="A13" t="s">
        <v>1129</v>
      </c>
      <c r="B13" t="str">
        <f t="shared" si="1"/>
        <v>....</v>
      </c>
      <c r="C13" t="str">
        <f t="shared" si="2"/>
        <v>Bertambah</v>
      </c>
      <c r="D13" t="str">
        <f t="shared" si="3"/>
        <v>1.3.3.01.01.01.004</v>
      </c>
      <c r="E13" s="12" t="s">
        <v>619</v>
      </c>
      <c r="F13" s="17">
        <v>1</v>
      </c>
      <c r="G13" s="17">
        <v>3</v>
      </c>
      <c r="H13" s="17">
        <v>3</v>
      </c>
      <c r="I13" s="18" t="s">
        <v>10</v>
      </c>
      <c r="J13" s="18" t="s">
        <v>10</v>
      </c>
      <c r="K13" s="18" t="s">
        <v>10</v>
      </c>
      <c r="L13" s="18" t="s">
        <v>20</v>
      </c>
      <c r="M13" s="19" t="s">
        <v>21</v>
      </c>
      <c r="N13" s="6" t="str">
        <f t="shared" si="4"/>
        <v>Rumah Panel</v>
      </c>
      <c r="O13" t="b">
        <f t="shared" si="0"/>
        <v>0</v>
      </c>
      <c r="Q13" s="12" t="s">
        <v>619</v>
      </c>
      <c r="R13" s="29"/>
      <c r="S13" s="29"/>
      <c r="T13" s="29"/>
      <c r="U13" s="29"/>
      <c r="V13" s="29"/>
      <c r="W13" s="10"/>
      <c r="X13" t="str">
        <f t="shared" si="5"/>
        <v/>
      </c>
      <c r="Y13" s="10"/>
      <c r="Z13" s="10"/>
    </row>
    <row r="14" spans="1:26" ht="26.25" customHeight="1" x14ac:dyDescent="0.25">
      <c r="A14" t="s">
        <v>1130</v>
      </c>
      <c r="B14" t="str">
        <f t="shared" si="1"/>
        <v>3.11.1.1.4</v>
      </c>
      <c r="C14" t="str">
        <f t="shared" si="2"/>
        <v>Berubah</v>
      </c>
      <c r="D14" t="str">
        <f t="shared" si="3"/>
        <v>1.3.3.01.01.01.005</v>
      </c>
      <c r="E14" s="12" t="s">
        <v>620</v>
      </c>
      <c r="F14" s="4">
        <v>1</v>
      </c>
      <c r="G14" s="4">
        <v>3</v>
      </c>
      <c r="H14" s="4">
        <v>3</v>
      </c>
      <c r="I14" s="5" t="s">
        <v>10</v>
      </c>
      <c r="J14" s="5" t="s">
        <v>10</v>
      </c>
      <c r="K14" s="5" t="s">
        <v>10</v>
      </c>
      <c r="L14" s="5" t="s">
        <v>22</v>
      </c>
      <c r="M14" s="6" t="s">
        <v>23</v>
      </c>
      <c r="N14" s="6" t="str">
        <f t="shared" si="4"/>
        <v>Dst….</v>
      </c>
      <c r="O14" t="b">
        <f t="shared" si="0"/>
        <v>0</v>
      </c>
      <c r="Q14" s="12" t="s">
        <v>620</v>
      </c>
      <c r="R14" s="27">
        <v>3</v>
      </c>
      <c r="S14" s="28">
        <v>11</v>
      </c>
      <c r="T14" s="28">
        <v>1</v>
      </c>
      <c r="U14" s="28">
        <v>1</v>
      </c>
      <c r="V14" s="28">
        <v>4</v>
      </c>
      <c r="W14" s="11" t="s">
        <v>415</v>
      </c>
      <c r="X14" t="str">
        <f t="shared" si="5"/>
        <v>Lain-lain</v>
      </c>
      <c r="Y14" s="13" t="s">
        <v>413</v>
      </c>
      <c r="Z14" s="13">
        <v>6</v>
      </c>
    </row>
    <row r="15" spans="1:26" ht="26.25" customHeight="1" x14ac:dyDescent="0.25">
      <c r="A15" t="s">
        <v>1131</v>
      </c>
      <c r="B15" t="str">
        <f t="shared" si="1"/>
        <v>3.11.1.2.*</v>
      </c>
      <c r="C15" t="str">
        <f t="shared" si="2"/>
        <v>Berubah</v>
      </c>
      <c r="D15" t="str">
        <f t="shared" si="3"/>
        <v>1.3.3.01.01.02.</v>
      </c>
      <c r="E15" s="12" t="s">
        <v>621</v>
      </c>
      <c r="F15" s="4">
        <v>1</v>
      </c>
      <c r="G15" s="4">
        <v>3</v>
      </c>
      <c r="H15" s="4">
        <v>3</v>
      </c>
      <c r="I15" s="5" t="s">
        <v>10</v>
      </c>
      <c r="J15" s="5" t="s">
        <v>10</v>
      </c>
      <c r="K15" s="5" t="s">
        <v>24</v>
      </c>
      <c r="L15" s="5"/>
      <c r="M15" s="6" t="s">
        <v>25</v>
      </c>
      <c r="N15" s="6" t="str">
        <f t="shared" si="4"/>
        <v>BANGUNAN GUDANG</v>
      </c>
      <c r="O15" t="b">
        <f t="shared" si="0"/>
        <v>0</v>
      </c>
      <c r="Q15" s="12" t="s">
        <v>621</v>
      </c>
      <c r="R15" s="27">
        <v>3</v>
      </c>
      <c r="S15" s="28">
        <v>11</v>
      </c>
      <c r="T15" s="28">
        <v>1</v>
      </c>
      <c r="U15" s="28">
        <v>2</v>
      </c>
      <c r="V15" s="28" t="s">
        <v>411</v>
      </c>
      <c r="W15" s="11" t="s">
        <v>417</v>
      </c>
      <c r="X15" t="str">
        <f t="shared" si="5"/>
        <v>Bangunan Gudang</v>
      </c>
      <c r="Y15" s="13" t="s">
        <v>413</v>
      </c>
      <c r="Z15" s="13">
        <v>7</v>
      </c>
    </row>
    <row r="16" spans="1:26" ht="26.25" customHeight="1" x14ac:dyDescent="0.25">
      <c r="A16" t="s">
        <v>1132</v>
      </c>
      <c r="B16" t="str">
        <f t="shared" si="1"/>
        <v>3.11.1.2.1</v>
      </c>
      <c r="C16" t="str">
        <f t="shared" si="2"/>
        <v>Berubah</v>
      </c>
      <c r="D16" t="str">
        <f t="shared" si="3"/>
        <v>1.3.3.01.01.02.001</v>
      </c>
      <c r="E16" s="12" t="s">
        <v>622</v>
      </c>
      <c r="F16" s="4">
        <v>1</v>
      </c>
      <c r="G16" s="4">
        <v>3</v>
      </c>
      <c r="H16" s="4">
        <v>3</v>
      </c>
      <c r="I16" s="5" t="s">
        <v>10</v>
      </c>
      <c r="J16" s="5" t="s">
        <v>10</v>
      </c>
      <c r="K16" s="5" t="s">
        <v>24</v>
      </c>
      <c r="L16" s="5" t="s">
        <v>14</v>
      </c>
      <c r="M16" s="6" t="s">
        <v>26</v>
      </c>
      <c r="N16" s="6" t="str">
        <f t="shared" si="4"/>
        <v>Bangunan Gudang Tertutup Permanen</v>
      </c>
      <c r="O16" t="b">
        <f t="shared" si="0"/>
        <v>0</v>
      </c>
      <c r="Q16" s="12" t="s">
        <v>622</v>
      </c>
      <c r="R16" s="27">
        <v>3</v>
      </c>
      <c r="S16" s="28">
        <v>11</v>
      </c>
      <c r="T16" s="28">
        <v>1</v>
      </c>
      <c r="U16" s="28">
        <v>2</v>
      </c>
      <c r="V16" s="28">
        <v>1</v>
      </c>
      <c r="W16" s="11" t="s">
        <v>418</v>
      </c>
      <c r="X16" t="str">
        <f t="shared" si="5"/>
        <v>Bangunan Gudang Tretutup Permanen</v>
      </c>
      <c r="Y16" s="13" t="s">
        <v>413</v>
      </c>
      <c r="Z16" s="13">
        <v>8</v>
      </c>
    </row>
    <row r="17" spans="1:26" ht="26.25" customHeight="1" x14ac:dyDescent="0.25">
      <c r="A17" t="s">
        <v>1133</v>
      </c>
      <c r="B17" t="str">
        <f t="shared" si="1"/>
        <v>3.11.1.2.2</v>
      </c>
      <c r="C17" t="str">
        <f t="shared" si="2"/>
        <v>Berubah</v>
      </c>
      <c r="D17" t="str">
        <f t="shared" si="3"/>
        <v>1.3.3.01.01.02.002</v>
      </c>
      <c r="E17" s="12" t="s">
        <v>623</v>
      </c>
      <c r="F17" s="4">
        <v>1</v>
      </c>
      <c r="G17" s="4">
        <v>3</v>
      </c>
      <c r="H17" s="4">
        <v>3</v>
      </c>
      <c r="I17" s="5" t="s">
        <v>10</v>
      </c>
      <c r="J17" s="5" t="s">
        <v>10</v>
      </c>
      <c r="K17" s="5" t="s">
        <v>24</v>
      </c>
      <c r="L17" s="5" t="s">
        <v>16</v>
      </c>
      <c r="M17" s="6" t="s">
        <v>27</v>
      </c>
      <c r="N17" s="6" t="str">
        <f t="shared" si="4"/>
        <v>Bangunan Gudang Tertutup Semi Permanen</v>
      </c>
      <c r="O17" t="b">
        <f t="shared" si="0"/>
        <v>0</v>
      </c>
      <c r="Q17" s="12" t="s">
        <v>623</v>
      </c>
      <c r="R17" s="27">
        <v>3</v>
      </c>
      <c r="S17" s="28">
        <v>11</v>
      </c>
      <c r="T17" s="28">
        <v>1</v>
      </c>
      <c r="U17" s="28">
        <v>2</v>
      </c>
      <c r="V17" s="28">
        <v>2</v>
      </c>
      <c r="W17" s="11" t="s">
        <v>419</v>
      </c>
      <c r="X17" t="str">
        <f t="shared" si="5"/>
        <v>Bangunan Gudang Tertutup Semi Premanen</v>
      </c>
      <c r="Y17" s="13" t="s">
        <v>413</v>
      </c>
      <c r="Z17" s="13">
        <v>9</v>
      </c>
    </row>
    <row r="18" spans="1:26" ht="26.25" customHeight="1" x14ac:dyDescent="0.25">
      <c r="A18" t="s">
        <v>1134</v>
      </c>
      <c r="B18" t="str">
        <f t="shared" si="1"/>
        <v>3.11.1.2.3</v>
      </c>
      <c r="C18" t="str">
        <f t="shared" si="2"/>
        <v>Berubah</v>
      </c>
      <c r="D18" t="str">
        <f t="shared" si="3"/>
        <v>1.3.3.01.01.02.003</v>
      </c>
      <c r="E18" s="12" t="s">
        <v>624</v>
      </c>
      <c r="F18" s="4">
        <v>1</v>
      </c>
      <c r="G18" s="4">
        <v>3</v>
      </c>
      <c r="H18" s="4">
        <v>3</v>
      </c>
      <c r="I18" s="5" t="s">
        <v>10</v>
      </c>
      <c r="J18" s="5" t="s">
        <v>10</v>
      </c>
      <c r="K18" s="5" t="s">
        <v>24</v>
      </c>
      <c r="L18" s="5" t="s">
        <v>18</v>
      </c>
      <c r="M18" s="6" t="s">
        <v>28</v>
      </c>
      <c r="N18" s="6" t="str">
        <f t="shared" si="4"/>
        <v>Bangunan Gudang Tertutup Darurat</v>
      </c>
      <c r="O18" t="b">
        <f t="shared" si="0"/>
        <v>0</v>
      </c>
      <c r="Q18" s="12" t="s">
        <v>624</v>
      </c>
      <c r="R18" s="27">
        <v>3</v>
      </c>
      <c r="S18" s="28">
        <v>11</v>
      </c>
      <c r="T18" s="28">
        <v>1</v>
      </c>
      <c r="U18" s="28">
        <v>2</v>
      </c>
      <c r="V18" s="28">
        <v>3</v>
      </c>
      <c r="W18" s="11" t="s">
        <v>420</v>
      </c>
      <c r="X18" t="str">
        <f t="shared" si="5"/>
        <v>Bangunan Gudang Tertutup Darurat</v>
      </c>
      <c r="Y18" s="13" t="s">
        <v>413</v>
      </c>
      <c r="Z18" s="13">
        <v>10</v>
      </c>
    </row>
    <row r="19" spans="1:26" ht="26.25" customHeight="1" x14ac:dyDescent="0.25">
      <c r="A19" t="s">
        <v>1135</v>
      </c>
      <c r="B19" t="str">
        <f t="shared" si="1"/>
        <v>3.11.1.2.4</v>
      </c>
      <c r="C19" t="str">
        <f t="shared" si="2"/>
        <v>Berubah</v>
      </c>
      <c r="D19" t="str">
        <f t="shared" si="3"/>
        <v>1.3.3.01.01.02.004</v>
      </c>
      <c r="E19" s="12" t="s">
        <v>625</v>
      </c>
      <c r="F19" s="4">
        <v>1</v>
      </c>
      <c r="G19" s="4">
        <v>3</v>
      </c>
      <c r="H19" s="4">
        <v>3</v>
      </c>
      <c r="I19" s="5" t="s">
        <v>10</v>
      </c>
      <c r="J19" s="5" t="s">
        <v>10</v>
      </c>
      <c r="K19" s="5" t="s">
        <v>24</v>
      </c>
      <c r="L19" s="5" t="s">
        <v>20</v>
      </c>
      <c r="M19" s="6" t="s">
        <v>29</v>
      </c>
      <c r="N19" s="6" t="str">
        <f t="shared" si="4"/>
        <v>Bangunan Gudang Terbuka Permanen</v>
      </c>
      <c r="O19" t="b">
        <f t="shared" si="0"/>
        <v>1</v>
      </c>
      <c r="Q19" s="12" t="s">
        <v>625</v>
      </c>
      <c r="R19" s="27">
        <v>3</v>
      </c>
      <c r="S19" s="28">
        <v>11</v>
      </c>
      <c r="T19" s="28">
        <v>1</v>
      </c>
      <c r="U19" s="28">
        <v>2</v>
      </c>
      <c r="V19" s="28">
        <v>4</v>
      </c>
      <c r="W19" s="11" t="s">
        <v>29</v>
      </c>
      <c r="X19" t="str">
        <f t="shared" si="5"/>
        <v>Bangunan Gudang Terbuka Permanen</v>
      </c>
      <c r="Y19" s="13" t="s">
        <v>413</v>
      </c>
      <c r="Z19" s="13">
        <v>11</v>
      </c>
    </row>
    <row r="20" spans="1:26" ht="26.25" customHeight="1" x14ac:dyDescent="0.25">
      <c r="A20" t="s">
        <v>1136</v>
      </c>
      <c r="B20" t="str">
        <f t="shared" si="1"/>
        <v>3.11.1.2.5</v>
      </c>
      <c r="C20" t="str">
        <f t="shared" si="2"/>
        <v>Berubah</v>
      </c>
      <c r="D20" t="str">
        <f t="shared" si="3"/>
        <v>1.3.3.01.01.02.005</v>
      </c>
      <c r="E20" s="12" t="s">
        <v>626</v>
      </c>
      <c r="F20" s="4">
        <v>1</v>
      </c>
      <c r="G20" s="4">
        <v>3</v>
      </c>
      <c r="H20" s="4">
        <v>3</v>
      </c>
      <c r="I20" s="5" t="s">
        <v>10</v>
      </c>
      <c r="J20" s="5" t="s">
        <v>10</v>
      </c>
      <c r="K20" s="5" t="s">
        <v>24</v>
      </c>
      <c r="L20" s="5" t="s">
        <v>22</v>
      </c>
      <c r="M20" s="6" t="s">
        <v>30</v>
      </c>
      <c r="N20" s="6" t="str">
        <f t="shared" si="4"/>
        <v>Bangunan Gudang Terbuka Semi Permanen</v>
      </c>
      <c r="O20" t="b">
        <f t="shared" si="0"/>
        <v>1</v>
      </c>
      <c r="Q20" s="12" t="s">
        <v>626</v>
      </c>
      <c r="R20" s="27">
        <v>3</v>
      </c>
      <c r="S20" s="28">
        <v>11</v>
      </c>
      <c r="T20" s="28">
        <v>1</v>
      </c>
      <c r="U20" s="28">
        <v>2</v>
      </c>
      <c r="V20" s="28">
        <v>5</v>
      </c>
      <c r="W20" s="11" t="s">
        <v>30</v>
      </c>
      <c r="X20" t="str">
        <f t="shared" si="5"/>
        <v>Bangunan Gudang Terbuka Semi Permanen</v>
      </c>
      <c r="Y20" s="13" t="s">
        <v>413</v>
      </c>
      <c r="Z20" s="13">
        <v>12</v>
      </c>
    </row>
    <row r="21" spans="1:26" ht="26.25" customHeight="1" x14ac:dyDescent="0.25">
      <c r="A21" t="s">
        <v>1137</v>
      </c>
      <c r="B21" t="str">
        <f t="shared" si="1"/>
        <v>3.11.1.2.6</v>
      </c>
      <c r="C21" t="str">
        <f t="shared" si="2"/>
        <v>Berubah</v>
      </c>
      <c r="D21" t="str">
        <f t="shared" si="3"/>
        <v>1.3.3.01.01.02.006</v>
      </c>
      <c r="E21" s="12" t="s">
        <v>627</v>
      </c>
      <c r="F21" s="4">
        <v>1</v>
      </c>
      <c r="G21" s="4">
        <v>3</v>
      </c>
      <c r="H21" s="4">
        <v>3</v>
      </c>
      <c r="I21" s="5" t="s">
        <v>10</v>
      </c>
      <c r="J21" s="5" t="s">
        <v>10</v>
      </c>
      <c r="K21" s="5" t="s">
        <v>24</v>
      </c>
      <c r="L21" s="5" t="s">
        <v>31</v>
      </c>
      <c r="M21" s="6" t="s">
        <v>32</v>
      </c>
      <c r="N21" s="6" t="str">
        <f t="shared" si="4"/>
        <v>Bangunan Gudang Terbuka Darurat</v>
      </c>
      <c r="O21" t="b">
        <f t="shared" si="0"/>
        <v>0</v>
      </c>
      <c r="Q21" s="12" t="s">
        <v>627</v>
      </c>
      <c r="R21" s="27">
        <v>3</v>
      </c>
      <c r="S21" s="28">
        <v>11</v>
      </c>
      <c r="T21" s="28">
        <v>1</v>
      </c>
      <c r="U21" s="28">
        <v>2</v>
      </c>
      <c r="V21" s="28">
        <v>6</v>
      </c>
      <c r="W21" s="11" t="s">
        <v>421</v>
      </c>
      <c r="X21" t="str">
        <f t="shared" si="5"/>
        <v>Bagunan Gudang Trebuka Darurat</v>
      </c>
      <c r="Y21" s="13" t="s">
        <v>413</v>
      </c>
      <c r="Z21" s="13">
        <v>13</v>
      </c>
    </row>
    <row r="22" spans="1:26" ht="26.25" customHeight="1" x14ac:dyDescent="0.25">
      <c r="A22" t="s">
        <v>1129</v>
      </c>
      <c r="B22" t="str">
        <f t="shared" si="1"/>
        <v>....</v>
      </c>
      <c r="C22" t="str">
        <f t="shared" si="2"/>
        <v>Bertambah</v>
      </c>
      <c r="D22" t="str">
        <f t="shared" si="3"/>
        <v>1.3.3.01.01.02.007</v>
      </c>
      <c r="E22" s="12" t="s">
        <v>628</v>
      </c>
      <c r="F22" s="17">
        <v>1</v>
      </c>
      <c r="G22" s="17">
        <v>3</v>
      </c>
      <c r="H22" s="17">
        <v>3</v>
      </c>
      <c r="I22" s="18" t="s">
        <v>10</v>
      </c>
      <c r="J22" s="18" t="s">
        <v>10</v>
      </c>
      <c r="K22" s="18" t="s">
        <v>24</v>
      </c>
      <c r="L22" s="18" t="s">
        <v>33</v>
      </c>
      <c r="M22" s="19" t="s">
        <v>34</v>
      </c>
      <c r="N22" s="19" t="str">
        <f t="shared" si="4"/>
        <v>Bangunan Gudang Penyimpanan Limbah Radioaktif Sementara (Intern Storage)</v>
      </c>
      <c r="O22" t="b">
        <f t="shared" si="0"/>
        <v>0</v>
      </c>
      <c r="Q22" s="12" t="s">
        <v>628</v>
      </c>
      <c r="R22" s="29"/>
      <c r="S22" s="29"/>
      <c r="T22" s="29"/>
      <c r="U22" s="29"/>
      <c r="V22" s="29"/>
      <c r="W22" s="10"/>
      <c r="X22" t="str">
        <f t="shared" si="5"/>
        <v/>
      </c>
      <c r="Y22" s="10"/>
      <c r="Z22" s="10"/>
    </row>
    <row r="23" spans="1:26" ht="26.25" customHeight="1" x14ac:dyDescent="0.25">
      <c r="A23" t="s">
        <v>1129</v>
      </c>
      <c r="B23" t="str">
        <f t="shared" si="1"/>
        <v>....</v>
      </c>
      <c r="C23" t="str">
        <f t="shared" si="2"/>
        <v>Bertambah</v>
      </c>
      <c r="D23" t="str">
        <f t="shared" si="3"/>
        <v>1.3.3.01.01.02.008</v>
      </c>
      <c r="E23" s="12" t="s">
        <v>629</v>
      </c>
      <c r="F23" s="17">
        <v>1</v>
      </c>
      <c r="G23" s="17">
        <v>3</v>
      </c>
      <c r="H23" s="17">
        <v>3</v>
      </c>
      <c r="I23" s="18" t="s">
        <v>10</v>
      </c>
      <c r="J23" s="18" t="s">
        <v>10</v>
      </c>
      <c r="K23" s="18" t="s">
        <v>24</v>
      </c>
      <c r="L23" s="18" t="s">
        <v>35</v>
      </c>
      <c r="M23" s="19" t="s">
        <v>36</v>
      </c>
      <c r="N23" s="19" t="str">
        <f t="shared" si="4"/>
        <v>Bangunan Gudang Penyimpanan Limbah Radioaktif Permanen</v>
      </c>
      <c r="O23" t="b">
        <f t="shared" si="0"/>
        <v>0</v>
      </c>
      <c r="Q23" s="12" t="s">
        <v>629</v>
      </c>
      <c r="R23" s="29"/>
      <c r="S23" s="29"/>
      <c r="T23" s="29"/>
      <c r="U23" s="29"/>
      <c r="V23" s="29"/>
      <c r="W23" s="10"/>
      <c r="X23" t="str">
        <f t="shared" si="5"/>
        <v/>
      </c>
      <c r="Y23" s="10"/>
      <c r="Z23" s="10"/>
    </row>
    <row r="24" spans="1:26" ht="26.25" customHeight="1" x14ac:dyDescent="0.25">
      <c r="A24" t="s">
        <v>1129</v>
      </c>
      <c r="B24" t="str">
        <f t="shared" si="1"/>
        <v>....</v>
      </c>
      <c r="C24" t="str">
        <f t="shared" si="2"/>
        <v>Bertambah</v>
      </c>
      <c r="D24" t="str">
        <f t="shared" si="3"/>
        <v>1.3.3.01.01.02.009</v>
      </c>
      <c r="E24" s="12" t="s">
        <v>630</v>
      </c>
      <c r="F24" s="17">
        <v>1</v>
      </c>
      <c r="G24" s="17">
        <v>3</v>
      </c>
      <c r="H24" s="17">
        <v>3</v>
      </c>
      <c r="I24" s="18" t="s">
        <v>10</v>
      </c>
      <c r="J24" s="18" t="s">
        <v>10</v>
      </c>
      <c r="K24" s="18" t="s">
        <v>24</v>
      </c>
      <c r="L24" s="18" t="s">
        <v>37</v>
      </c>
      <c r="M24" s="19" t="s">
        <v>38</v>
      </c>
      <c r="N24" s="19" t="str">
        <f t="shared" si="4"/>
        <v>Bangunan Gudang Penyimpanan Limbah Radioaktif Aktivitas Tinggi</v>
      </c>
      <c r="O24" t="b">
        <f t="shared" si="0"/>
        <v>0</v>
      </c>
      <c r="Q24" s="12" t="s">
        <v>630</v>
      </c>
      <c r="R24" s="29"/>
      <c r="S24" s="29"/>
      <c r="T24" s="29"/>
      <c r="U24" s="29"/>
      <c r="V24" s="29"/>
      <c r="W24" s="10"/>
      <c r="X24" t="str">
        <f t="shared" si="5"/>
        <v/>
      </c>
      <c r="Y24" s="10"/>
      <c r="Z24" s="10"/>
    </row>
    <row r="25" spans="1:26" ht="26.25" customHeight="1" x14ac:dyDescent="0.25">
      <c r="A25" t="s">
        <v>1129</v>
      </c>
      <c r="B25" t="str">
        <f t="shared" si="1"/>
        <v>....</v>
      </c>
      <c r="C25" t="str">
        <f t="shared" si="2"/>
        <v>Bertambah</v>
      </c>
      <c r="D25" t="str">
        <f t="shared" si="3"/>
        <v>1.3.3.01.01.02.010</v>
      </c>
      <c r="E25" s="12" t="s">
        <v>631</v>
      </c>
      <c r="F25" s="17">
        <v>1</v>
      </c>
      <c r="G25" s="17">
        <v>3</v>
      </c>
      <c r="H25" s="17">
        <v>3</v>
      </c>
      <c r="I25" s="18" t="s">
        <v>10</v>
      </c>
      <c r="J25" s="18" t="s">
        <v>10</v>
      </c>
      <c r="K25" s="18" t="s">
        <v>24</v>
      </c>
      <c r="L25" s="18" t="s">
        <v>39</v>
      </c>
      <c r="M25" s="19" t="s">
        <v>40</v>
      </c>
      <c r="N25" s="19" t="str">
        <f t="shared" si="4"/>
        <v>Bangunan Gudang Penyimpanan Limbah Radioaktif Cair</v>
      </c>
      <c r="O25" t="b">
        <f t="shared" si="0"/>
        <v>0</v>
      </c>
      <c r="Q25" s="12" t="s">
        <v>631</v>
      </c>
      <c r="R25" s="29"/>
      <c r="S25" s="29"/>
      <c r="T25" s="29"/>
      <c r="U25" s="29"/>
      <c r="V25" s="29"/>
      <c r="W25" s="10"/>
      <c r="X25" t="str">
        <f t="shared" si="5"/>
        <v/>
      </c>
      <c r="Y25" s="10"/>
      <c r="Z25" s="10"/>
    </row>
    <row r="26" spans="1:26" ht="26.25" customHeight="1" x14ac:dyDescent="0.25">
      <c r="A26" t="s">
        <v>1129</v>
      </c>
      <c r="B26" t="str">
        <f t="shared" si="1"/>
        <v>....</v>
      </c>
      <c r="C26" t="str">
        <f t="shared" si="2"/>
        <v>Bertambah</v>
      </c>
      <c r="D26" t="str">
        <f t="shared" si="3"/>
        <v>1.3.3.01.01.02.011</v>
      </c>
      <c r="E26" s="12" t="s">
        <v>632</v>
      </c>
      <c r="F26" s="17">
        <v>1</v>
      </c>
      <c r="G26" s="17">
        <v>3</v>
      </c>
      <c r="H26" s="17">
        <v>3</v>
      </c>
      <c r="I26" s="18" t="s">
        <v>10</v>
      </c>
      <c r="J26" s="18" t="s">
        <v>10</v>
      </c>
      <c r="K26" s="18" t="s">
        <v>24</v>
      </c>
      <c r="L26" s="18" t="s">
        <v>41</v>
      </c>
      <c r="M26" s="19" t="s">
        <v>42</v>
      </c>
      <c r="N26" s="19" t="str">
        <f t="shared" si="4"/>
        <v>Bangunan Gudang Penyimpanan Limbah Radioaktif Padat</v>
      </c>
      <c r="O26" t="b">
        <f t="shared" si="0"/>
        <v>0</v>
      </c>
      <c r="Q26" s="12" t="s">
        <v>632</v>
      </c>
      <c r="R26" s="29"/>
      <c r="S26" s="29"/>
      <c r="T26" s="29"/>
      <c r="U26" s="29"/>
      <c r="V26" s="29"/>
      <c r="W26" s="10"/>
      <c r="X26" t="str">
        <f t="shared" si="5"/>
        <v/>
      </c>
      <c r="Y26" s="10"/>
      <c r="Z26" s="10"/>
    </row>
    <row r="27" spans="1:26" ht="26.25" customHeight="1" x14ac:dyDescent="0.25">
      <c r="A27" t="s">
        <v>1129</v>
      </c>
      <c r="B27" t="str">
        <f t="shared" si="1"/>
        <v>....</v>
      </c>
      <c r="C27" t="str">
        <f t="shared" si="2"/>
        <v>Bertambah</v>
      </c>
      <c r="D27" t="str">
        <f t="shared" si="3"/>
        <v>1.3.3.01.01.02.012</v>
      </c>
      <c r="E27" s="12" t="s">
        <v>633</v>
      </c>
      <c r="F27" s="17">
        <v>1</v>
      </c>
      <c r="G27" s="17">
        <v>3</v>
      </c>
      <c r="H27" s="17">
        <v>3</v>
      </c>
      <c r="I27" s="18" t="s">
        <v>10</v>
      </c>
      <c r="J27" s="18" t="s">
        <v>10</v>
      </c>
      <c r="K27" s="18" t="s">
        <v>24</v>
      </c>
      <c r="L27" s="18" t="s">
        <v>43</v>
      </c>
      <c r="M27" s="19" t="s">
        <v>44</v>
      </c>
      <c r="N27" s="19" t="str">
        <f t="shared" si="4"/>
        <v>Bangunan Gudang Penyimpanan Limbah Radioaktif Gas</v>
      </c>
      <c r="O27" t="b">
        <f t="shared" si="0"/>
        <v>0</v>
      </c>
      <c r="Q27" s="12" t="s">
        <v>633</v>
      </c>
      <c r="R27" s="29"/>
      <c r="S27" s="29"/>
      <c r="T27" s="29"/>
      <c r="U27" s="29"/>
      <c r="V27" s="29"/>
      <c r="W27" s="10"/>
      <c r="X27" t="str">
        <f t="shared" si="5"/>
        <v/>
      </c>
      <c r="Y27" s="10"/>
      <c r="Z27" s="10"/>
    </row>
    <row r="28" spans="1:26" ht="26.25" customHeight="1" x14ac:dyDescent="0.25">
      <c r="A28" t="s">
        <v>1129</v>
      </c>
      <c r="B28" t="str">
        <f t="shared" si="1"/>
        <v>....</v>
      </c>
      <c r="C28" t="str">
        <f t="shared" si="2"/>
        <v>Bertambah</v>
      </c>
      <c r="D28" t="str">
        <f t="shared" si="3"/>
        <v>1.3.3.01.01.02.013</v>
      </c>
      <c r="E28" s="12" t="s">
        <v>634</v>
      </c>
      <c r="F28" s="17">
        <v>1</v>
      </c>
      <c r="G28" s="17">
        <v>3</v>
      </c>
      <c r="H28" s="17">
        <v>3</v>
      </c>
      <c r="I28" s="18" t="s">
        <v>10</v>
      </c>
      <c r="J28" s="18" t="s">
        <v>10</v>
      </c>
      <c r="K28" s="18" t="s">
        <v>24</v>
      </c>
      <c r="L28" s="18" t="s">
        <v>45</v>
      </c>
      <c r="M28" s="19" t="s">
        <v>46</v>
      </c>
      <c r="N28" s="19" t="str">
        <f t="shared" si="4"/>
        <v>Bangunan Gudang Penyimpanan Limbah Radioaktif Lainnya</v>
      </c>
      <c r="O28" t="b">
        <f t="shared" si="0"/>
        <v>0</v>
      </c>
      <c r="Q28" s="12" t="s">
        <v>634</v>
      </c>
      <c r="R28" s="29"/>
      <c r="S28" s="29"/>
      <c r="T28" s="29"/>
      <c r="U28" s="29"/>
      <c r="V28" s="29"/>
      <c r="W28" s="10"/>
      <c r="X28" t="str">
        <f t="shared" si="5"/>
        <v/>
      </c>
      <c r="Y28" s="10"/>
      <c r="Z28" s="10"/>
    </row>
    <row r="29" spans="1:26" ht="26.25" customHeight="1" x14ac:dyDescent="0.25">
      <c r="A29" t="s">
        <v>1138</v>
      </c>
      <c r="B29" t="str">
        <f t="shared" si="1"/>
        <v>3.11.1.2.7</v>
      </c>
      <c r="C29" t="str">
        <f t="shared" si="2"/>
        <v>Berubah</v>
      </c>
      <c r="D29" t="str">
        <f t="shared" si="3"/>
        <v>1.3.3.01.01.02.014</v>
      </c>
      <c r="E29" s="12" t="s">
        <v>635</v>
      </c>
      <c r="F29" s="4">
        <v>1</v>
      </c>
      <c r="G29" s="4">
        <v>3</v>
      </c>
      <c r="H29" s="4">
        <v>3</v>
      </c>
      <c r="I29" s="5" t="s">
        <v>10</v>
      </c>
      <c r="J29" s="5" t="s">
        <v>10</v>
      </c>
      <c r="K29" s="5" t="s">
        <v>24</v>
      </c>
      <c r="L29" s="5" t="s">
        <v>47</v>
      </c>
      <c r="M29" s="6" t="s">
        <v>23</v>
      </c>
      <c r="N29" s="6" t="str">
        <f t="shared" si="4"/>
        <v>Dst….</v>
      </c>
      <c r="O29" t="b">
        <f t="shared" si="0"/>
        <v>0</v>
      </c>
      <c r="Q29" s="12" t="s">
        <v>635</v>
      </c>
      <c r="R29" s="27">
        <v>3</v>
      </c>
      <c r="S29" s="28">
        <v>11</v>
      </c>
      <c r="T29" s="28">
        <v>1</v>
      </c>
      <c r="U29" s="28">
        <v>2</v>
      </c>
      <c r="V29" s="28">
        <v>7</v>
      </c>
      <c r="W29" s="11" t="s">
        <v>415</v>
      </c>
      <c r="X29" t="str">
        <f t="shared" si="5"/>
        <v>Lain-lain</v>
      </c>
      <c r="Y29" s="13" t="s">
        <v>413</v>
      </c>
      <c r="Z29" s="13">
        <v>14</v>
      </c>
    </row>
    <row r="30" spans="1:26" ht="26.25" customHeight="1" x14ac:dyDescent="0.25">
      <c r="A30" t="s">
        <v>1139</v>
      </c>
      <c r="B30" t="str">
        <f t="shared" si="1"/>
        <v>3.11.1.3.*</v>
      </c>
      <c r="C30" t="str">
        <f t="shared" si="2"/>
        <v>Berubah</v>
      </c>
      <c r="D30" t="str">
        <f t="shared" si="3"/>
        <v>1.3.3.01.01.03.</v>
      </c>
      <c r="E30" s="12" t="s">
        <v>636</v>
      </c>
      <c r="F30" s="4">
        <v>1</v>
      </c>
      <c r="G30" s="4">
        <v>3</v>
      </c>
      <c r="H30" s="4">
        <v>3</v>
      </c>
      <c r="I30" s="5" t="s">
        <v>10</v>
      </c>
      <c r="J30" s="5" t="s">
        <v>10</v>
      </c>
      <c r="K30" s="5" t="s">
        <v>48</v>
      </c>
      <c r="L30" s="5"/>
      <c r="M30" s="6" t="s">
        <v>49</v>
      </c>
      <c r="N30" s="6" t="str">
        <f t="shared" si="4"/>
        <v>BANGUNAN GEDUNG UNTUK BENGKEL/HANGGAR</v>
      </c>
      <c r="O30" t="b">
        <f t="shared" si="0"/>
        <v>0</v>
      </c>
      <c r="Q30" s="12" t="s">
        <v>636</v>
      </c>
      <c r="R30" s="27">
        <v>3</v>
      </c>
      <c r="S30" s="28">
        <v>11</v>
      </c>
      <c r="T30" s="28">
        <v>1</v>
      </c>
      <c r="U30" s="28">
        <v>3</v>
      </c>
      <c r="V30" s="28" t="s">
        <v>411</v>
      </c>
      <c r="W30" s="11" t="s">
        <v>422</v>
      </c>
      <c r="X30" t="str">
        <f t="shared" si="5"/>
        <v>Bangunan Gudang Untuk Bengkel</v>
      </c>
      <c r="Y30" s="13" t="s">
        <v>413</v>
      </c>
      <c r="Z30" s="13">
        <v>15</v>
      </c>
    </row>
    <row r="31" spans="1:26" ht="26.25" customHeight="1" x14ac:dyDescent="0.25">
      <c r="A31" t="s">
        <v>1140</v>
      </c>
      <c r="B31" t="str">
        <f t="shared" si="1"/>
        <v>3.11.1.3.1</v>
      </c>
      <c r="C31" t="str">
        <f t="shared" si="2"/>
        <v>Berubah</v>
      </c>
      <c r="D31" t="str">
        <f t="shared" si="3"/>
        <v>1.3.3.01.01.03.001</v>
      </c>
      <c r="E31" s="12" t="s">
        <v>637</v>
      </c>
      <c r="F31" s="4">
        <v>1</v>
      </c>
      <c r="G31" s="4">
        <v>3</v>
      </c>
      <c r="H31" s="4">
        <v>3</v>
      </c>
      <c r="I31" s="5" t="s">
        <v>10</v>
      </c>
      <c r="J31" s="5" t="s">
        <v>10</v>
      </c>
      <c r="K31" s="5" t="s">
        <v>48</v>
      </c>
      <c r="L31" s="5" t="s">
        <v>14</v>
      </c>
      <c r="M31" s="6" t="s">
        <v>50</v>
      </c>
      <c r="N31" s="6" t="str">
        <f t="shared" si="4"/>
        <v>Bangunan Bengkel/Hanggar Permanen</v>
      </c>
      <c r="O31" t="b">
        <f t="shared" si="0"/>
        <v>0</v>
      </c>
      <c r="Q31" s="12" t="s">
        <v>637</v>
      </c>
      <c r="R31" s="27">
        <v>3</v>
      </c>
      <c r="S31" s="28">
        <v>11</v>
      </c>
      <c r="T31" s="28">
        <v>1</v>
      </c>
      <c r="U31" s="28">
        <v>3</v>
      </c>
      <c r="V31" s="28">
        <v>1</v>
      </c>
      <c r="W31" s="11" t="s">
        <v>423</v>
      </c>
      <c r="X31" t="str">
        <f t="shared" si="5"/>
        <v>Bangunan Bengkel Permanen</v>
      </c>
      <c r="Y31" s="13" t="s">
        <v>413</v>
      </c>
      <c r="Z31" s="13">
        <v>16</v>
      </c>
    </row>
    <row r="32" spans="1:26" ht="26.25" customHeight="1" x14ac:dyDescent="0.25">
      <c r="A32" t="s">
        <v>1141</v>
      </c>
      <c r="B32" t="str">
        <f t="shared" si="1"/>
        <v>3.11.1.3.2</v>
      </c>
      <c r="C32" t="str">
        <f t="shared" si="2"/>
        <v>Berubah</v>
      </c>
      <c r="D32" t="str">
        <f t="shared" si="3"/>
        <v>1.3.3.01.01.03.002</v>
      </c>
      <c r="E32" s="12" t="s">
        <v>638</v>
      </c>
      <c r="F32" s="4">
        <v>1</v>
      </c>
      <c r="G32" s="4">
        <v>3</v>
      </c>
      <c r="H32" s="4">
        <v>3</v>
      </c>
      <c r="I32" s="5" t="s">
        <v>10</v>
      </c>
      <c r="J32" s="5" t="s">
        <v>10</v>
      </c>
      <c r="K32" s="5" t="s">
        <v>48</v>
      </c>
      <c r="L32" s="5" t="s">
        <v>16</v>
      </c>
      <c r="M32" s="6" t="s">
        <v>51</v>
      </c>
      <c r="N32" s="6" t="str">
        <f t="shared" si="4"/>
        <v>Bangunan Bengkel /Hanggar Semi Permanen</v>
      </c>
      <c r="O32" t="b">
        <f t="shared" si="0"/>
        <v>0</v>
      </c>
      <c r="Q32" s="12" t="s">
        <v>638</v>
      </c>
      <c r="R32" s="27">
        <v>3</v>
      </c>
      <c r="S32" s="28">
        <v>11</v>
      </c>
      <c r="T32" s="28">
        <v>1</v>
      </c>
      <c r="U32" s="28">
        <v>3</v>
      </c>
      <c r="V32" s="28">
        <v>2</v>
      </c>
      <c r="W32" s="11" t="s">
        <v>424</v>
      </c>
      <c r="X32" t="str">
        <f t="shared" si="5"/>
        <v>Bangunan Bengkel Semi Permanen</v>
      </c>
      <c r="Y32" s="13" t="s">
        <v>413</v>
      </c>
      <c r="Z32" s="13">
        <v>17</v>
      </c>
    </row>
    <row r="33" spans="1:26" ht="26.25" customHeight="1" x14ac:dyDescent="0.25">
      <c r="A33" t="s">
        <v>1142</v>
      </c>
      <c r="B33" t="str">
        <f t="shared" si="1"/>
        <v>3.11.1.3.3</v>
      </c>
      <c r="C33" t="str">
        <f t="shared" si="2"/>
        <v>Berubah</v>
      </c>
      <c r="D33" t="str">
        <f t="shared" si="3"/>
        <v>1.3.3.01.01.03.003</v>
      </c>
      <c r="E33" s="12" t="s">
        <v>639</v>
      </c>
      <c r="F33" s="4">
        <v>1</v>
      </c>
      <c r="G33" s="4">
        <v>3</v>
      </c>
      <c r="H33" s="4">
        <v>3</v>
      </c>
      <c r="I33" s="5" t="s">
        <v>10</v>
      </c>
      <c r="J33" s="5" t="s">
        <v>10</v>
      </c>
      <c r="K33" s="5" t="s">
        <v>48</v>
      </c>
      <c r="L33" s="5" t="s">
        <v>18</v>
      </c>
      <c r="M33" s="6" t="s">
        <v>52</v>
      </c>
      <c r="N33" s="6" t="str">
        <f t="shared" si="4"/>
        <v>Bangunan Bengkel /Hanggar Darurat</v>
      </c>
      <c r="O33" t="b">
        <f t="shared" si="0"/>
        <v>0</v>
      </c>
      <c r="Q33" s="12" t="s">
        <v>639</v>
      </c>
      <c r="R33" s="27">
        <v>3</v>
      </c>
      <c r="S33" s="28">
        <v>11</v>
      </c>
      <c r="T33" s="28">
        <v>1</v>
      </c>
      <c r="U33" s="28">
        <v>3</v>
      </c>
      <c r="V33" s="28">
        <v>3</v>
      </c>
      <c r="W33" s="11" t="s">
        <v>425</v>
      </c>
      <c r="X33" t="str">
        <f t="shared" si="5"/>
        <v>Bangunan Bengkel Darurat</v>
      </c>
      <c r="Y33" s="13" t="s">
        <v>413</v>
      </c>
      <c r="Z33" s="13">
        <v>18</v>
      </c>
    </row>
    <row r="34" spans="1:26" ht="26.25" customHeight="1" x14ac:dyDescent="0.25">
      <c r="A34" t="s">
        <v>1129</v>
      </c>
      <c r="B34" t="str">
        <f t="shared" si="1"/>
        <v>....</v>
      </c>
      <c r="C34" t="str">
        <f t="shared" si="2"/>
        <v>Bertambah</v>
      </c>
      <c r="D34" t="str">
        <f t="shared" si="3"/>
        <v>1.3.3.01.01.03.004</v>
      </c>
      <c r="E34" s="12" t="s">
        <v>640</v>
      </c>
      <c r="F34" s="17">
        <v>1</v>
      </c>
      <c r="G34" s="17">
        <v>3</v>
      </c>
      <c r="H34" s="17">
        <v>3</v>
      </c>
      <c r="I34" s="18" t="s">
        <v>10</v>
      </c>
      <c r="J34" s="18" t="s">
        <v>10</v>
      </c>
      <c r="K34" s="18" t="s">
        <v>48</v>
      </c>
      <c r="L34" s="18" t="s">
        <v>20</v>
      </c>
      <c r="M34" s="19" t="s">
        <v>53</v>
      </c>
      <c r="N34" s="19" t="str">
        <f t="shared" si="4"/>
        <v>Bangunan Depo Kereta Api</v>
      </c>
      <c r="O34" t="b">
        <f t="shared" si="0"/>
        <v>0</v>
      </c>
      <c r="Q34" s="12" t="s">
        <v>640</v>
      </c>
      <c r="R34" s="29"/>
      <c r="S34" s="29"/>
      <c r="T34" s="29"/>
      <c r="U34" s="29"/>
      <c r="V34" s="29"/>
      <c r="W34" s="10"/>
      <c r="X34" t="str">
        <f t="shared" si="5"/>
        <v/>
      </c>
      <c r="Y34" s="10"/>
      <c r="Z34" s="10"/>
    </row>
    <row r="35" spans="1:26" ht="26.25" customHeight="1" x14ac:dyDescent="0.25">
      <c r="A35" t="s">
        <v>1143</v>
      </c>
      <c r="B35" t="str">
        <f t="shared" si="1"/>
        <v>3.11.1.3.4</v>
      </c>
      <c r="C35" t="str">
        <f t="shared" si="2"/>
        <v>Berubah</v>
      </c>
      <c r="D35" t="str">
        <f t="shared" si="3"/>
        <v>1.3.3.01.01.03.005</v>
      </c>
      <c r="E35" s="12" t="s">
        <v>641</v>
      </c>
      <c r="F35" s="4">
        <v>1</v>
      </c>
      <c r="G35" s="4">
        <v>3</v>
      </c>
      <c r="H35" s="4">
        <v>3</v>
      </c>
      <c r="I35" s="5" t="s">
        <v>10</v>
      </c>
      <c r="J35" s="5" t="s">
        <v>10</v>
      </c>
      <c r="K35" s="5" t="s">
        <v>48</v>
      </c>
      <c r="L35" s="5" t="s">
        <v>22</v>
      </c>
      <c r="M35" s="6" t="s">
        <v>23</v>
      </c>
      <c r="N35" s="6" t="str">
        <f t="shared" si="4"/>
        <v>Dst….</v>
      </c>
      <c r="O35" t="b">
        <f t="shared" si="0"/>
        <v>0</v>
      </c>
      <c r="Q35" s="12" t="s">
        <v>641</v>
      </c>
      <c r="R35" s="27">
        <v>3</v>
      </c>
      <c r="S35" s="28">
        <v>11</v>
      </c>
      <c r="T35" s="28">
        <v>1</v>
      </c>
      <c r="U35" s="28">
        <v>3</v>
      </c>
      <c r="V35" s="28">
        <v>4</v>
      </c>
      <c r="W35" s="11" t="s">
        <v>415</v>
      </c>
      <c r="X35" t="str">
        <f t="shared" si="5"/>
        <v>Lain-lain</v>
      </c>
      <c r="Y35" s="13" t="s">
        <v>413</v>
      </c>
      <c r="Z35" s="13">
        <v>19</v>
      </c>
    </row>
    <row r="36" spans="1:26" ht="26.25" customHeight="1" x14ac:dyDescent="0.25">
      <c r="A36" t="s">
        <v>1144</v>
      </c>
      <c r="B36" t="str">
        <f t="shared" si="1"/>
        <v>3.11.1.4.*</v>
      </c>
      <c r="C36" t="str">
        <f t="shared" si="2"/>
        <v>Berubah</v>
      </c>
      <c r="D36" t="str">
        <f t="shared" si="3"/>
        <v>1.3.3.01.01.04.</v>
      </c>
      <c r="E36" s="12" t="s">
        <v>642</v>
      </c>
      <c r="F36" s="4">
        <v>1</v>
      </c>
      <c r="G36" s="4">
        <v>3</v>
      </c>
      <c r="H36" s="4">
        <v>3</v>
      </c>
      <c r="I36" s="5" t="s">
        <v>10</v>
      </c>
      <c r="J36" s="5" t="s">
        <v>10</v>
      </c>
      <c r="K36" s="5" t="s">
        <v>54</v>
      </c>
      <c r="L36" s="5"/>
      <c r="M36" s="6" t="s">
        <v>55</v>
      </c>
      <c r="N36" s="6" t="str">
        <f t="shared" si="4"/>
        <v>BANGUNAN GEDUNG INSTALASI</v>
      </c>
      <c r="O36" t="b">
        <f t="shared" si="0"/>
        <v>1</v>
      </c>
      <c r="Q36" s="12" t="s">
        <v>642</v>
      </c>
      <c r="R36" s="27">
        <v>3</v>
      </c>
      <c r="S36" s="28">
        <v>11</v>
      </c>
      <c r="T36" s="28">
        <v>1</v>
      </c>
      <c r="U36" s="28">
        <v>4</v>
      </c>
      <c r="V36" s="28" t="s">
        <v>411</v>
      </c>
      <c r="W36" s="11" t="s">
        <v>426</v>
      </c>
      <c r="X36" t="str">
        <f t="shared" si="5"/>
        <v>Bangunan Gedung Instalasi</v>
      </c>
      <c r="Y36" s="13" t="s">
        <v>413</v>
      </c>
      <c r="Z36" s="13">
        <v>20</v>
      </c>
    </row>
    <row r="37" spans="1:26" ht="26.25" customHeight="1" x14ac:dyDescent="0.25">
      <c r="A37" t="s">
        <v>1129</v>
      </c>
      <c r="B37" t="str">
        <f t="shared" si="1"/>
        <v>....</v>
      </c>
      <c r="C37" t="str">
        <f t="shared" si="2"/>
        <v>Bertambah</v>
      </c>
      <c r="D37" t="str">
        <f t="shared" si="3"/>
        <v>1.3.3.01.01.04.001</v>
      </c>
      <c r="E37" s="12" t="s">
        <v>643</v>
      </c>
      <c r="F37" s="17">
        <v>1</v>
      </c>
      <c r="G37" s="17">
        <v>3</v>
      </c>
      <c r="H37" s="17">
        <v>3</v>
      </c>
      <c r="I37" s="18" t="s">
        <v>10</v>
      </c>
      <c r="J37" s="18" t="s">
        <v>10</v>
      </c>
      <c r="K37" s="18" t="s">
        <v>54</v>
      </c>
      <c r="L37" s="18" t="s">
        <v>14</v>
      </c>
      <c r="M37" s="19" t="s">
        <v>56</v>
      </c>
      <c r="N37" s="19" t="str">
        <f t="shared" si="4"/>
        <v>Gedung Instalasi Studio</v>
      </c>
      <c r="O37" t="b">
        <f t="shared" si="0"/>
        <v>0</v>
      </c>
      <c r="Q37" s="12" t="s">
        <v>643</v>
      </c>
      <c r="R37" s="27"/>
      <c r="S37" s="28"/>
      <c r="T37" s="28"/>
      <c r="U37" s="28"/>
      <c r="V37" s="28"/>
      <c r="W37" s="11"/>
      <c r="X37" t="str">
        <f t="shared" si="5"/>
        <v/>
      </c>
      <c r="Y37" s="13"/>
      <c r="Z37" s="13"/>
    </row>
    <row r="38" spans="1:26" ht="26.25" customHeight="1" x14ac:dyDescent="0.25">
      <c r="A38" t="s">
        <v>1129</v>
      </c>
      <c r="B38" t="str">
        <f t="shared" si="1"/>
        <v>....</v>
      </c>
      <c r="C38" t="str">
        <f t="shared" si="2"/>
        <v>Bertambah</v>
      </c>
      <c r="D38" t="str">
        <f t="shared" si="3"/>
        <v>1.3.3.01.01.04.002</v>
      </c>
      <c r="E38" s="12" t="s">
        <v>644</v>
      </c>
      <c r="F38" s="17">
        <v>1</v>
      </c>
      <c r="G38" s="17">
        <v>3</v>
      </c>
      <c r="H38" s="17">
        <v>3</v>
      </c>
      <c r="I38" s="18" t="s">
        <v>10</v>
      </c>
      <c r="J38" s="18" t="s">
        <v>10</v>
      </c>
      <c r="K38" s="18" t="s">
        <v>54</v>
      </c>
      <c r="L38" s="18" t="s">
        <v>16</v>
      </c>
      <c r="M38" s="19" t="s">
        <v>57</v>
      </c>
      <c r="N38" s="19" t="str">
        <f t="shared" si="4"/>
        <v>Gedung Instalasi Pemancar</v>
      </c>
      <c r="O38" t="b">
        <f t="shared" si="0"/>
        <v>0</v>
      </c>
      <c r="Q38" s="12" t="s">
        <v>644</v>
      </c>
      <c r="R38" s="27"/>
      <c r="S38" s="28"/>
      <c r="T38" s="28"/>
      <c r="U38" s="28"/>
      <c r="V38" s="28"/>
      <c r="W38" s="11"/>
      <c r="X38" t="str">
        <f t="shared" si="5"/>
        <v/>
      </c>
      <c r="Y38" s="13"/>
      <c r="Z38" s="13"/>
    </row>
    <row r="39" spans="1:26" ht="26.25" customHeight="1" x14ac:dyDescent="0.25">
      <c r="A39" t="s">
        <v>1129</v>
      </c>
      <c r="B39" t="str">
        <f t="shared" si="1"/>
        <v>....</v>
      </c>
      <c r="C39" t="str">
        <f t="shared" si="2"/>
        <v>Bertambah</v>
      </c>
      <c r="D39" t="str">
        <f t="shared" si="3"/>
        <v>1.3.3.01.01.04.003</v>
      </c>
      <c r="E39" s="12" t="s">
        <v>645</v>
      </c>
      <c r="F39" s="17">
        <v>1</v>
      </c>
      <c r="G39" s="17">
        <v>3</v>
      </c>
      <c r="H39" s="17">
        <v>3</v>
      </c>
      <c r="I39" s="18" t="s">
        <v>10</v>
      </c>
      <c r="J39" s="18" t="s">
        <v>10</v>
      </c>
      <c r="K39" s="18" t="s">
        <v>54</v>
      </c>
      <c r="L39" s="18" t="s">
        <v>18</v>
      </c>
      <c r="M39" s="19" t="s">
        <v>58</v>
      </c>
      <c r="N39" s="19" t="str">
        <f t="shared" si="4"/>
        <v>Bangunan Gedung Instalasi Radar</v>
      </c>
      <c r="O39" t="b">
        <f t="shared" si="0"/>
        <v>0</v>
      </c>
      <c r="Q39" s="12" t="s">
        <v>645</v>
      </c>
      <c r="R39" s="27"/>
      <c r="S39" s="28"/>
      <c r="T39" s="28"/>
      <c r="U39" s="28"/>
      <c r="V39" s="28"/>
      <c r="W39" s="11"/>
      <c r="X39" t="str">
        <f t="shared" si="5"/>
        <v/>
      </c>
      <c r="Y39" s="13"/>
      <c r="Z39" s="13"/>
    </row>
    <row r="40" spans="1:26" ht="26.25" customHeight="1" x14ac:dyDescent="0.25">
      <c r="A40" t="s">
        <v>1129</v>
      </c>
      <c r="B40" t="str">
        <f t="shared" si="1"/>
        <v>....</v>
      </c>
      <c r="C40" t="str">
        <f t="shared" si="2"/>
        <v>Bertambah</v>
      </c>
      <c r="D40" t="str">
        <f t="shared" si="3"/>
        <v>1.3.3.01.01.04.004</v>
      </c>
      <c r="E40" s="12" t="s">
        <v>646</v>
      </c>
      <c r="F40" s="17">
        <v>1</v>
      </c>
      <c r="G40" s="17">
        <v>3</v>
      </c>
      <c r="H40" s="17">
        <v>3</v>
      </c>
      <c r="I40" s="18" t="s">
        <v>10</v>
      </c>
      <c r="J40" s="18" t="s">
        <v>10</v>
      </c>
      <c r="K40" s="18" t="s">
        <v>54</v>
      </c>
      <c r="L40" s="18" t="s">
        <v>20</v>
      </c>
      <c r="M40" s="19" t="s">
        <v>59</v>
      </c>
      <c r="N40" s="19" t="str">
        <f t="shared" si="4"/>
        <v>Bangunan Gedung Reaktor Nuklir</v>
      </c>
      <c r="O40" t="b">
        <f t="shared" si="0"/>
        <v>0</v>
      </c>
      <c r="Q40" s="12" t="s">
        <v>646</v>
      </c>
      <c r="R40" s="27"/>
      <c r="S40" s="28"/>
      <c r="T40" s="28"/>
      <c r="U40" s="28"/>
      <c r="V40" s="28"/>
      <c r="W40" s="11"/>
      <c r="X40" t="str">
        <f t="shared" si="5"/>
        <v/>
      </c>
      <c r="Y40" s="13"/>
      <c r="Z40" s="13"/>
    </row>
    <row r="41" spans="1:26" ht="26.25" customHeight="1" x14ac:dyDescent="0.25">
      <c r="A41" t="s">
        <v>1129</v>
      </c>
      <c r="B41" t="str">
        <f t="shared" si="1"/>
        <v>....</v>
      </c>
      <c r="C41" t="str">
        <f t="shared" si="2"/>
        <v>Bertambah</v>
      </c>
      <c r="D41" t="str">
        <f t="shared" si="3"/>
        <v>1.3.3.01.01.04.005</v>
      </c>
      <c r="E41" s="12" t="s">
        <v>647</v>
      </c>
      <c r="F41" s="17">
        <v>1</v>
      </c>
      <c r="G41" s="17">
        <v>3</v>
      </c>
      <c r="H41" s="17">
        <v>3</v>
      </c>
      <c r="I41" s="18" t="s">
        <v>10</v>
      </c>
      <c r="J41" s="18" t="s">
        <v>10</v>
      </c>
      <c r="K41" s="18" t="s">
        <v>54</v>
      </c>
      <c r="L41" s="18" t="s">
        <v>22</v>
      </c>
      <c r="M41" s="19" t="s">
        <v>60</v>
      </c>
      <c r="N41" s="19" t="str">
        <f t="shared" si="4"/>
        <v>Bangunan Gedung Instalasi Pertahanan dan Keamanan</v>
      </c>
      <c r="O41" t="b">
        <f t="shared" si="0"/>
        <v>0</v>
      </c>
      <c r="Q41" s="12" t="s">
        <v>647</v>
      </c>
      <c r="R41" s="27"/>
      <c r="S41" s="28"/>
      <c r="T41" s="28"/>
      <c r="U41" s="28"/>
      <c r="V41" s="28"/>
      <c r="W41" s="11"/>
      <c r="X41" t="str">
        <f t="shared" si="5"/>
        <v/>
      </c>
      <c r="Y41" s="13"/>
      <c r="Z41" s="13"/>
    </row>
    <row r="42" spans="1:26" ht="26.25" customHeight="1" x14ac:dyDescent="0.25">
      <c r="A42" t="s">
        <v>1145</v>
      </c>
      <c r="B42" t="str">
        <f t="shared" si="1"/>
        <v>3.11.1.4.4</v>
      </c>
      <c r="C42" t="str">
        <f t="shared" si="2"/>
        <v>Berubah</v>
      </c>
      <c r="D42" t="str">
        <f t="shared" si="3"/>
        <v>1.3.3.01.01.04.006</v>
      </c>
      <c r="E42" s="12" t="s">
        <v>648</v>
      </c>
      <c r="F42" s="17">
        <v>1</v>
      </c>
      <c r="G42" s="17">
        <v>3</v>
      </c>
      <c r="H42" s="17">
        <v>3</v>
      </c>
      <c r="I42" s="18" t="s">
        <v>10</v>
      </c>
      <c r="J42" s="18" t="s">
        <v>10</v>
      </c>
      <c r="K42" s="18" t="s">
        <v>54</v>
      </c>
      <c r="L42" s="18" t="s">
        <v>31</v>
      </c>
      <c r="M42" s="19" t="s">
        <v>23</v>
      </c>
      <c r="N42" s="19" t="str">
        <f t="shared" si="4"/>
        <v>Dst….</v>
      </c>
      <c r="O42" t="b">
        <f t="shared" si="0"/>
        <v>0</v>
      </c>
      <c r="Q42" s="12" t="s">
        <v>648</v>
      </c>
      <c r="R42" s="27">
        <v>3</v>
      </c>
      <c r="S42" s="28">
        <v>11</v>
      </c>
      <c r="T42" s="28">
        <v>1</v>
      </c>
      <c r="U42" s="28">
        <v>4</v>
      </c>
      <c r="V42" s="28">
        <v>4</v>
      </c>
      <c r="W42" s="11" t="s">
        <v>415</v>
      </c>
      <c r="X42" t="str">
        <f t="shared" si="5"/>
        <v>Lain-lain</v>
      </c>
      <c r="Y42" s="13" t="s">
        <v>413</v>
      </c>
      <c r="Z42" s="13">
        <v>24</v>
      </c>
    </row>
    <row r="43" spans="1:26" ht="26.25" customHeight="1" x14ac:dyDescent="0.25">
      <c r="A43" t="s">
        <v>1146</v>
      </c>
      <c r="B43" t="str">
        <f t="shared" si="1"/>
        <v>3.11.1.4.1</v>
      </c>
      <c r="C43" t="str">
        <f t="shared" si="2"/>
        <v>Berubah</v>
      </c>
      <c r="D43" t="str">
        <f t="shared" si="3"/>
        <v>1.3.3.01.01.04.007</v>
      </c>
      <c r="E43" s="12" t="s">
        <v>649</v>
      </c>
      <c r="F43" s="17">
        <v>1</v>
      </c>
      <c r="G43" s="17">
        <v>3</v>
      </c>
      <c r="H43" s="17">
        <v>3</v>
      </c>
      <c r="I43" s="18" t="s">
        <v>10</v>
      </c>
      <c r="J43" s="18" t="s">
        <v>10</v>
      </c>
      <c r="K43" s="18" t="s">
        <v>54</v>
      </c>
      <c r="L43" s="18" t="s">
        <v>33</v>
      </c>
      <c r="M43" s="11" t="s">
        <v>427</v>
      </c>
      <c r="N43" s="19" t="str">
        <f t="shared" si="4"/>
        <v>Bangunan Gedung Instalasi Permanen</v>
      </c>
      <c r="O43" t="b">
        <f t="shared" si="0"/>
        <v>1</v>
      </c>
      <c r="Q43" s="12" t="s">
        <v>649</v>
      </c>
      <c r="R43" s="27">
        <v>3</v>
      </c>
      <c r="S43" s="28">
        <v>11</v>
      </c>
      <c r="T43" s="28">
        <v>1</v>
      </c>
      <c r="U43" s="28">
        <v>4</v>
      </c>
      <c r="V43" s="28">
        <v>1</v>
      </c>
      <c r="W43" s="11" t="s">
        <v>427</v>
      </c>
      <c r="X43" t="str">
        <f t="shared" si="5"/>
        <v>Bangunan Gedung Instalasi Permanen</v>
      </c>
      <c r="Y43" s="13" t="s">
        <v>413</v>
      </c>
      <c r="Z43" s="13">
        <v>21</v>
      </c>
    </row>
    <row r="44" spans="1:26" ht="26.25" customHeight="1" x14ac:dyDescent="0.25">
      <c r="A44" t="s">
        <v>1147</v>
      </c>
      <c r="B44" t="str">
        <f t="shared" si="1"/>
        <v>3.11.1.4.2</v>
      </c>
      <c r="C44" t="str">
        <f t="shared" si="2"/>
        <v>Berubah</v>
      </c>
      <c r="D44" t="str">
        <f t="shared" si="3"/>
        <v>1.3.3.01.01.04.008</v>
      </c>
      <c r="E44" s="12" t="s">
        <v>650</v>
      </c>
      <c r="F44" s="17">
        <v>1</v>
      </c>
      <c r="G44" s="17">
        <v>3</v>
      </c>
      <c r="H44" s="17">
        <v>3</v>
      </c>
      <c r="I44" s="18" t="s">
        <v>10</v>
      </c>
      <c r="J44" s="18" t="s">
        <v>10</v>
      </c>
      <c r="K44" s="18" t="s">
        <v>54</v>
      </c>
      <c r="L44" s="18" t="s">
        <v>35</v>
      </c>
      <c r="M44" s="11" t="s">
        <v>428</v>
      </c>
      <c r="N44" s="19" t="str">
        <f t="shared" si="4"/>
        <v>Bangunan Gedung Instalasi Semi Permanen</v>
      </c>
      <c r="O44" t="b">
        <f t="shared" si="0"/>
        <v>1</v>
      </c>
      <c r="Q44" s="12" t="s">
        <v>650</v>
      </c>
      <c r="R44" s="27">
        <v>3</v>
      </c>
      <c r="S44" s="28">
        <v>11</v>
      </c>
      <c r="T44" s="28">
        <v>1</v>
      </c>
      <c r="U44" s="28">
        <v>4</v>
      </c>
      <c r="V44" s="28">
        <v>2</v>
      </c>
      <c r="W44" s="11" t="s">
        <v>428</v>
      </c>
      <c r="X44" t="str">
        <f t="shared" si="5"/>
        <v>Bangunan Gedung Instalasi Semi Permanen</v>
      </c>
      <c r="Y44" s="13" t="s">
        <v>413</v>
      </c>
      <c r="Z44" s="13">
        <v>22</v>
      </c>
    </row>
    <row r="45" spans="1:26" ht="26.25" customHeight="1" x14ac:dyDescent="0.25">
      <c r="A45" t="s">
        <v>1148</v>
      </c>
      <c r="B45" t="str">
        <f t="shared" si="1"/>
        <v>3.11.1.4.3</v>
      </c>
      <c r="C45" t="str">
        <f t="shared" si="2"/>
        <v>Berubah</v>
      </c>
      <c r="D45" t="str">
        <f t="shared" si="3"/>
        <v>1.3.3.01.01.04.009</v>
      </c>
      <c r="E45" s="12" t="s">
        <v>651</v>
      </c>
      <c r="F45" s="17">
        <v>1</v>
      </c>
      <c r="G45" s="17">
        <v>3</v>
      </c>
      <c r="H45" s="17">
        <v>3</v>
      </c>
      <c r="I45" s="18" t="s">
        <v>10</v>
      </c>
      <c r="J45" s="18" t="s">
        <v>10</v>
      </c>
      <c r="K45" s="18" t="s">
        <v>54</v>
      </c>
      <c r="L45" s="18" t="s">
        <v>37</v>
      </c>
      <c r="M45" s="11" t="s">
        <v>429</v>
      </c>
      <c r="N45" s="8"/>
      <c r="O45" t="b">
        <f>M45=W46</f>
        <v>0</v>
      </c>
      <c r="Q45" s="12" t="s">
        <v>651</v>
      </c>
      <c r="R45" s="27">
        <v>3</v>
      </c>
      <c r="S45" s="28">
        <v>11</v>
      </c>
      <c r="T45" s="28">
        <v>1</v>
      </c>
      <c r="U45" s="28">
        <v>4</v>
      </c>
      <c r="V45" s="28">
        <v>3</v>
      </c>
      <c r="W45" s="11" t="s">
        <v>429</v>
      </c>
      <c r="X45" s="11"/>
      <c r="Y45" s="13" t="s">
        <v>413</v>
      </c>
      <c r="Z45" s="13">
        <v>23</v>
      </c>
    </row>
    <row r="46" spans="1:26" ht="26.25" customHeight="1" x14ac:dyDescent="0.25">
      <c r="A46" t="s">
        <v>1129</v>
      </c>
      <c r="B46" t="str">
        <f t="shared" si="1"/>
        <v>....</v>
      </c>
      <c r="C46" t="str">
        <f t="shared" si="2"/>
        <v>Bertambah</v>
      </c>
      <c r="D46" t="str">
        <f t="shared" si="3"/>
        <v>......</v>
      </c>
      <c r="E46" s="12" t="s">
        <v>652</v>
      </c>
      <c r="F46" s="7"/>
      <c r="G46" s="7"/>
      <c r="H46" s="7"/>
      <c r="I46" s="7"/>
      <c r="J46" s="7"/>
      <c r="K46" s="7"/>
      <c r="L46" s="7"/>
      <c r="M46" s="8"/>
      <c r="N46" s="6" t="str">
        <f t="shared" ref="N46:N91" si="6">TRIM(M46)</f>
        <v/>
      </c>
      <c r="O46" t="b">
        <f t="shared" ref="O46:O91" si="7">M46=W46</f>
        <v>1</v>
      </c>
      <c r="Q46" s="12" t="s">
        <v>652</v>
      </c>
      <c r="R46" s="27"/>
      <c r="S46" s="28"/>
      <c r="T46" s="28"/>
      <c r="U46" s="28"/>
      <c r="V46" s="28"/>
      <c r="W46" s="11"/>
      <c r="X46" t="str">
        <f t="shared" ref="X46:X91" si="8">TRIM(W46)</f>
        <v/>
      </c>
      <c r="Y46" s="13"/>
      <c r="Z46" s="13"/>
    </row>
    <row r="47" spans="1:26" ht="26.25" customHeight="1" x14ac:dyDescent="0.25">
      <c r="A47" t="s">
        <v>1149</v>
      </c>
      <c r="B47" t="str">
        <f t="shared" si="1"/>
        <v>3.11.1.5.*</v>
      </c>
      <c r="C47" t="str">
        <f t="shared" si="2"/>
        <v>Berubah</v>
      </c>
      <c r="D47" t="str">
        <f t="shared" si="3"/>
        <v>1.3.3.01.01.05.</v>
      </c>
      <c r="E47" s="12" t="s">
        <v>653</v>
      </c>
      <c r="F47" s="4">
        <v>1</v>
      </c>
      <c r="G47" s="4">
        <v>3</v>
      </c>
      <c r="H47" s="4">
        <v>3</v>
      </c>
      <c r="I47" s="5" t="s">
        <v>10</v>
      </c>
      <c r="J47" s="5" t="s">
        <v>10</v>
      </c>
      <c r="K47" s="5" t="s">
        <v>61</v>
      </c>
      <c r="L47" s="5"/>
      <c r="M47" s="6" t="s">
        <v>62</v>
      </c>
      <c r="N47" s="6" t="str">
        <f t="shared" si="6"/>
        <v>BANGUNAN GEDUNG LABORATORIUM</v>
      </c>
      <c r="O47" t="b">
        <f t="shared" si="7"/>
        <v>0</v>
      </c>
      <c r="Q47" s="12" t="s">
        <v>653</v>
      </c>
      <c r="R47" s="27">
        <v>3</v>
      </c>
      <c r="S47" s="28">
        <v>11</v>
      </c>
      <c r="T47" s="28">
        <v>1</v>
      </c>
      <c r="U47" s="28">
        <v>5</v>
      </c>
      <c r="V47" s="28" t="s">
        <v>411</v>
      </c>
      <c r="W47" s="11" t="s">
        <v>430</v>
      </c>
      <c r="X47" t="str">
        <f t="shared" si="8"/>
        <v>Bangunan Gedung Laboratarium</v>
      </c>
      <c r="Y47" s="13" t="s">
        <v>413</v>
      </c>
      <c r="Z47" s="13">
        <v>25</v>
      </c>
    </row>
    <row r="48" spans="1:26" ht="26.25" customHeight="1" x14ac:dyDescent="0.25">
      <c r="A48" t="s">
        <v>1150</v>
      </c>
      <c r="B48" t="str">
        <f t="shared" si="1"/>
        <v>3.11.1.5.1</v>
      </c>
      <c r="C48" t="str">
        <f t="shared" si="2"/>
        <v>Berubah</v>
      </c>
      <c r="D48" t="str">
        <f t="shared" si="3"/>
        <v>1.3.3.01.01.05.001</v>
      </c>
      <c r="E48" s="12" t="s">
        <v>654</v>
      </c>
      <c r="F48" s="4">
        <v>1</v>
      </c>
      <c r="G48" s="4">
        <v>3</v>
      </c>
      <c r="H48" s="4">
        <v>3</v>
      </c>
      <c r="I48" s="5" t="s">
        <v>10</v>
      </c>
      <c r="J48" s="5" t="s">
        <v>10</v>
      </c>
      <c r="K48" s="5" t="s">
        <v>61</v>
      </c>
      <c r="L48" s="5" t="s">
        <v>14</v>
      </c>
      <c r="M48" s="6" t="s">
        <v>63</v>
      </c>
      <c r="N48" s="6" t="str">
        <f t="shared" si="6"/>
        <v>Bangunan Gedung Laboratorium Permanen</v>
      </c>
      <c r="O48" t="b">
        <f t="shared" si="7"/>
        <v>0</v>
      </c>
      <c r="Q48" s="12" t="s">
        <v>654</v>
      </c>
      <c r="R48" s="27">
        <v>3</v>
      </c>
      <c r="S48" s="28">
        <v>11</v>
      </c>
      <c r="T48" s="28">
        <v>1</v>
      </c>
      <c r="U48" s="28">
        <v>5</v>
      </c>
      <c r="V48" s="28">
        <v>1</v>
      </c>
      <c r="W48" s="11" t="s">
        <v>431</v>
      </c>
      <c r="X48" t="str">
        <f t="shared" si="8"/>
        <v>Bangunan Gedung Laboratarium Permanen</v>
      </c>
      <c r="Y48" s="13" t="s">
        <v>413</v>
      </c>
      <c r="Z48" s="13">
        <v>26</v>
      </c>
    </row>
    <row r="49" spans="1:26" ht="26.25" customHeight="1" x14ac:dyDescent="0.25">
      <c r="A49" t="s">
        <v>1151</v>
      </c>
      <c r="B49" t="str">
        <f t="shared" si="1"/>
        <v>3.11.1.5.2</v>
      </c>
      <c r="C49" t="str">
        <f t="shared" si="2"/>
        <v>Berubah</v>
      </c>
      <c r="D49" t="str">
        <f t="shared" si="3"/>
        <v>1.3.3.01.01.05.002</v>
      </c>
      <c r="E49" s="12" t="s">
        <v>655</v>
      </c>
      <c r="F49" s="4">
        <v>1</v>
      </c>
      <c r="G49" s="4">
        <v>3</v>
      </c>
      <c r="H49" s="4">
        <v>3</v>
      </c>
      <c r="I49" s="5" t="s">
        <v>10</v>
      </c>
      <c r="J49" s="5" t="s">
        <v>10</v>
      </c>
      <c r="K49" s="5" t="s">
        <v>61</v>
      </c>
      <c r="L49" s="5" t="s">
        <v>16</v>
      </c>
      <c r="M49" s="6" t="s">
        <v>64</v>
      </c>
      <c r="N49" s="6" t="str">
        <f t="shared" si="6"/>
        <v>Bangunan Gedung Laboratorium Semi Permanen</v>
      </c>
      <c r="O49" t="b">
        <f t="shared" si="7"/>
        <v>0</v>
      </c>
      <c r="Q49" s="12" t="s">
        <v>655</v>
      </c>
      <c r="R49" s="27">
        <v>3</v>
      </c>
      <c r="S49" s="28">
        <v>11</v>
      </c>
      <c r="T49" s="28">
        <v>1</v>
      </c>
      <c r="U49" s="28">
        <v>5</v>
      </c>
      <c r="V49" s="28">
        <v>2</v>
      </c>
      <c r="W49" s="11" t="s">
        <v>432</v>
      </c>
      <c r="X49" t="str">
        <f t="shared" si="8"/>
        <v>Bangunan Gedung Laboratarium Semi Permanen</v>
      </c>
      <c r="Y49" s="13" t="s">
        <v>413</v>
      </c>
      <c r="Z49" s="13">
        <v>27</v>
      </c>
    </row>
    <row r="50" spans="1:26" ht="26.25" customHeight="1" x14ac:dyDescent="0.25">
      <c r="A50" t="s">
        <v>1152</v>
      </c>
      <c r="B50" t="str">
        <f t="shared" si="1"/>
        <v>3.11.1.5.3</v>
      </c>
      <c r="C50" t="str">
        <f t="shared" si="2"/>
        <v>Berubah</v>
      </c>
      <c r="D50" t="str">
        <f t="shared" si="3"/>
        <v>1.3.3.01.01.05.003</v>
      </c>
      <c r="E50" s="12" t="s">
        <v>656</v>
      </c>
      <c r="F50" s="4">
        <v>1</v>
      </c>
      <c r="G50" s="4">
        <v>3</v>
      </c>
      <c r="H50" s="4">
        <v>3</v>
      </c>
      <c r="I50" s="5" t="s">
        <v>10</v>
      </c>
      <c r="J50" s="5" t="s">
        <v>10</v>
      </c>
      <c r="K50" s="5" t="s">
        <v>61</v>
      </c>
      <c r="L50" s="5" t="s">
        <v>18</v>
      </c>
      <c r="M50" s="6" t="s">
        <v>65</v>
      </c>
      <c r="N50" s="6" t="str">
        <f t="shared" si="6"/>
        <v>Bangunan Gedung Laboratorium Darurat</v>
      </c>
      <c r="O50" t="b">
        <f t="shared" si="7"/>
        <v>0</v>
      </c>
      <c r="Q50" s="12" t="s">
        <v>656</v>
      </c>
      <c r="R50" s="27">
        <v>3</v>
      </c>
      <c r="S50" s="28">
        <v>11</v>
      </c>
      <c r="T50" s="28">
        <v>1</v>
      </c>
      <c r="U50" s="28">
        <v>5</v>
      </c>
      <c r="V50" s="28">
        <v>3</v>
      </c>
      <c r="W50" s="11" t="s">
        <v>433</v>
      </c>
      <c r="X50" t="str">
        <f t="shared" si="8"/>
        <v>Bangunan Gedung Laboratarium Darurat</v>
      </c>
      <c r="Y50" s="13" t="s">
        <v>413</v>
      </c>
      <c r="Z50" s="13">
        <v>28</v>
      </c>
    </row>
    <row r="51" spans="1:26" ht="26.25" customHeight="1" x14ac:dyDescent="0.25">
      <c r="A51" t="s">
        <v>1153</v>
      </c>
      <c r="B51" t="str">
        <f t="shared" si="1"/>
        <v>3.11.1.5.4</v>
      </c>
      <c r="C51" t="str">
        <f t="shared" si="2"/>
        <v>Berubah</v>
      </c>
      <c r="D51" t="str">
        <f t="shared" si="3"/>
        <v>1.3.3.01.01.05.004</v>
      </c>
      <c r="E51" s="12" t="s">
        <v>657</v>
      </c>
      <c r="F51" s="4">
        <v>1</v>
      </c>
      <c r="G51" s="4">
        <v>3</v>
      </c>
      <c r="H51" s="4">
        <v>3</v>
      </c>
      <c r="I51" s="5" t="s">
        <v>10</v>
      </c>
      <c r="J51" s="5" t="s">
        <v>10</v>
      </c>
      <c r="K51" s="5" t="s">
        <v>61</v>
      </c>
      <c r="L51" s="5" t="s">
        <v>20</v>
      </c>
      <c r="M51" s="6" t="s">
        <v>23</v>
      </c>
      <c r="N51" s="6" t="str">
        <f t="shared" si="6"/>
        <v>Dst….</v>
      </c>
      <c r="O51" t="b">
        <f t="shared" si="7"/>
        <v>0</v>
      </c>
      <c r="Q51" s="12" t="s">
        <v>657</v>
      </c>
      <c r="R51" s="27">
        <v>3</v>
      </c>
      <c r="S51" s="28">
        <v>11</v>
      </c>
      <c r="T51" s="28">
        <v>1</v>
      </c>
      <c r="U51" s="28">
        <v>5</v>
      </c>
      <c r="V51" s="28">
        <v>4</v>
      </c>
      <c r="W51" s="11" t="s">
        <v>415</v>
      </c>
      <c r="X51" t="str">
        <f t="shared" si="8"/>
        <v>Lain-lain</v>
      </c>
      <c r="Y51" s="13" t="s">
        <v>413</v>
      </c>
      <c r="Z51" s="13">
        <v>29</v>
      </c>
    </row>
    <row r="52" spans="1:26" ht="26.25" customHeight="1" x14ac:dyDescent="0.25">
      <c r="A52" t="s">
        <v>1129</v>
      </c>
      <c r="B52" t="str">
        <f t="shared" si="1"/>
        <v>....</v>
      </c>
      <c r="C52" t="str">
        <f t="shared" si="2"/>
        <v>Bertambah</v>
      </c>
      <c r="D52" t="str">
        <f t="shared" si="3"/>
        <v>......</v>
      </c>
      <c r="E52" s="12" t="s">
        <v>658</v>
      </c>
      <c r="F52" s="4"/>
      <c r="G52" s="4"/>
      <c r="H52" s="4"/>
      <c r="I52" s="5"/>
      <c r="J52" s="5"/>
      <c r="K52" s="5"/>
      <c r="L52" s="5"/>
      <c r="M52" s="6"/>
      <c r="N52" s="6" t="str">
        <f t="shared" si="6"/>
        <v/>
      </c>
      <c r="O52" t="b">
        <f t="shared" si="7"/>
        <v>1</v>
      </c>
      <c r="Q52" s="12" t="s">
        <v>658</v>
      </c>
      <c r="R52" s="29"/>
      <c r="S52" s="29"/>
      <c r="T52" s="29"/>
      <c r="U52" s="29"/>
      <c r="V52" s="29"/>
      <c r="W52" s="10"/>
      <c r="X52" t="str">
        <f t="shared" si="8"/>
        <v/>
      </c>
      <c r="Y52" s="10"/>
      <c r="Z52" s="10"/>
    </row>
    <row r="53" spans="1:26" ht="26.25" customHeight="1" x14ac:dyDescent="0.25">
      <c r="A53" t="s">
        <v>1154</v>
      </c>
      <c r="B53" t="str">
        <f t="shared" si="1"/>
        <v>3.11.1.6.*</v>
      </c>
      <c r="C53" t="str">
        <f t="shared" si="2"/>
        <v>Berubah</v>
      </c>
      <c r="D53" t="str">
        <f t="shared" si="3"/>
        <v>1.3.3.01.01.06.</v>
      </c>
      <c r="E53" s="12" t="s">
        <v>659</v>
      </c>
      <c r="F53" s="4">
        <v>1</v>
      </c>
      <c r="G53" s="4">
        <v>3</v>
      </c>
      <c r="H53" s="4">
        <v>3</v>
      </c>
      <c r="I53" s="5" t="s">
        <v>10</v>
      </c>
      <c r="J53" s="5" t="s">
        <v>10</v>
      </c>
      <c r="K53" s="5" t="s">
        <v>66</v>
      </c>
      <c r="L53" s="5"/>
      <c r="M53" s="6" t="s">
        <v>67</v>
      </c>
      <c r="N53" s="6" t="str">
        <f t="shared" si="6"/>
        <v>BANGUNAN KESEHATAN</v>
      </c>
      <c r="O53" t="b">
        <f t="shared" si="7"/>
        <v>1</v>
      </c>
      <c r="Q53" s="12" t="s">
        <v>659</v>
      </c>
      <c r="R53" s="27">
        <v>3</v>
      </c>
      <c r="S53" s="28">
        <v>11</v>
      </c>
      <c r="T53" s="28">
        <v>1</v>
      </c>
      <c r="U53" s="28">
        <v>6</v>
      </c>
      <c r="V53" s="28" t="s">
        <v>411</v>
      </c>
      <c r="W53" s="11" t="s">
        <v>434</v>
      </c>
      <c r="X53" t="str">
        <f t="shared" si="8"/>
        <v>Bangunan Kesehatan</v>
      </c>
      <c r="Y53" s="13" t="s">
        <v>413</v>
      </c>
      <c r="Z53" s="13">
        <v>30</v>
      </c>
    </row>
    <row r="54" spans="1:26" ht="26.25" customHeight="1" x14ac:dyDescent="0.25">
      <c r="A54" t="s">
        <v>1155</v>
      </c>
      <c r="B54" t="str">
        <f t="shared" si="1"/>
        <v>3.11.1.6.1</v>
      </c>
      <c r="C54" t="str">
        <f t="shared" si="2"/>
        <v>Berubah</v>
      </c>
      <c r="D54" t="str">
        <f t="shared" si="3"/>
        <v>1.3.3.01.01.06.001</v>
      </c>
      <c r="E54" s="12" t="s">
        <v>660</v>
      </c>
      <c r="F54" s="4">
        <v>1</v>
      </c>
      <c r="G54" s="4">
        <v>3</v>
      </c>
      <c r="H54" s="4">
        <v>3</v>
      </c>
      <c r="I54" s="5" t="s">
        <v>10</v>
      </c>
      <c r="J54" s="5" t="s">
        <v>10</v>
      </c>
      <c r="K54" s="5" t="s">
        <v>66</v>
      </c>
      <c r="L54" s="5" t="s">
        <v>14</v>
      </c>
      <c r="M54" s="6" t="s">
        <v>68</v>
      </c>
      <c r="N54" s="6" t="str">
        <f t="shared" si="6"/>
        <v>Bangunan Rumah Sakit Umum</v>
      </c>
      <c r="O54" t="b">
        <f t="shared" si="7"/>
        <v>1</v>
      </c>
      <c r="Q54" s="12" t="s">
        <v>660</v>
      </c>
      <c r="R54" s="27">
        <v>3</v>
      </c>
      <c r="S54" s="28">
        <v>11</v>
      </c>
      <c r="T54" s="28">
        <v>1</v>
      </c>
      <c r="U54" s="28">
        <v>6</v>
      </c>
      <c r="V54" s="28">
        <v>1</v>
      </c>
      <c r="W54" s="11" t="s">
        <v>68</v>
      </c>
      <c r="X54" t="str">
        <f t="shared" si="8"/>
        <v>Bangunan Rumah Sakit Umum</v>
      </c>
      <c r="Y54" s="13" t="s">
        <v>413</v>
      </c>
      <c r="Z54" s="13">
        <v>31</v>
      </c>
    </row>
    <row r="55" spans="1:26" ht="26.25" customHeight="1" x14ac:dyDescent="0.25">
      <c r="A55" t="s">
        <v>1156</v>
      </c>
      <c r="B55" t="str">
        <f t="shared" si="1"/>
        <v>3.11.1.6.2</v>
      </c>
      <c r="C55" t="str">
        <f t="shared" si="2"/>
        <v>Berubah</v>
      </c>
      <c r="D55" t="str">
        <f t="shared" si="3"/>
        <v>1.3.3.01.01.06.002</v>
      </c>
      <c r="E55" s="12" t="s">
        <v>661</v>
      </c>
      <c r="F55" s="4">
        <v>1</v>
      </c>
      <c r="G55" s="4">
        <v>3</v>
      </c>
      <c r="H55" s="4">
        <v>3</v>
      </c>
      <c r="I55" s="5" t="s">
        <v>10</v>
      </c>
      <c r="J55" s="5" t="s">
        <v>10</v>
      </c>
      <c r="K55" s="5" t="s">
        <v>66</v>
      </c>
      <c r="L55" s="5" t="s">
        <v>16</v>
      </c>
      <c r="M55" s="6" t="s">
        <v>69</v>
      </c>
      <c r="N55" s="6" t="str">
        <f t="shared" si="6"/>
        <v>Bangunan Rumah Sakit Khusus</v>
      </c>
      <c r="O55" t="b">
        <f t="shared" si="7"/>
        <v>0</v>
      </c>
      <c r="Q55" s="12" t="s">
        <v>661</v>
      </c>
      <c r="R55" s="27">
        <v>3</v>
      </c>
      <c r="S55" s="28">
        <v>11</v>
      </c>
      <c r="T55" s="28">
        <v>1</v>
      </c>
      <c r="U55" s="28">
        <v>6</v>
      </c>
      <c r="V55" s="28">
        <v>2</v>
      </c>
      <c r="W55" s="11" t="s">
        <v>435</v>
      </c>
      <c r="X55" t="str">
        <f t="shared" si="8"/>
        <v>Bangunan Rumah Sakit Khusus</v>
      </c>
      <c r="Y55" s="13" t="s">
        <v>413</v>
      </c>
      <c r="Z55" s="13">
        <v>32</v>
      </c>
    </row>
    <row r="56" spans="1:26" ht="26.25" customHeight="1" x14ac:dyDescent="0.25">
      <c r="A56" t="s">
        <v>1157</v>
      </c>
      <c r="B56" t="str">
        <f t="shared" si="1"/>
        <v>3.11.1.6.3</v>
      </c>
      <c r="C56" t="str">
        <f t="shared" si="2"/>
        <v>Berubah</v>
      </c>
      <c r="D56" t="str">
        <f t="shared" si="3"/>
        <v>1.3.3.01.01.06.003</v>
      </c>
      <c r="E56" s="12" t="s">
        <v>662</v>
      </c>
      <c r="F56" s="4">
        <v>1</v>
      </c>
      <c r="G56" s="4">
        <v>3</v>
      </c>
      <c r="H56" s="4">
        <v>3</v>
      </c>
      <c r="I56" s="5" t="s">
        <v>10</v>
      </c>
      <c r="J56" s="5" t="s">
        <v>10</v>
      </c>
      <c r="K56" s="5" t="s">
        <v>66</v>
      </c>
      <c r="L56" s="5" t="s">
        <v>18</v>
      </c>
      <c r="M56" s="6" t="s">
        <v>70</v>
      </c>
      <c r="N56" s="6" t="str">
        <f t="shared" si="6"/>
        <v>Bangunan Rumah Sakit Kusta</v>
      </c>
      <c r="O56" t="b">
        <f t="shared" si="7"/>
        <v>1</v>
      </c>
      <c r="Q56" s="12" t="s">
        <v>662</v>
      </c>
      <c r="R56" s="27">
        <v>3</v>
      </c>
      <c r="S56" s="28">
        <v>11</v>
      </c>
      <c r="T56" s="28">
        <v>1</v>
      </c>
      <c r="U56" s="28">
        <v>6</v>
      </c>
      <c r="V56" s="28">
        <v>3</v>
      </c>
      <c r="W56" s="11" t="s">
        <v>70</v>
      </c>
      <c r="X56" t="str">
        <f t="shared" si="8"/>
        <v>Bangunan Rumah Sakit Kusta</v>
      </c>
      <c r="Y56" s="13" t="s">
        <v>413</v>
      </c>
      <c r="Z56" s="13">
        <v>33</v>
      </c>
    </row>
    <row r="57" spans="1:26" ht="26.25" customHeight="1" x14ac:dyDescent="0.25">
      <c r="A57" t="s">
        <v>1158</v>
      </c>
      <c r="B57" t="str">
        <f t="shared" si="1"/>
        <v>3.11.1.6.4</v>
      </c>
      <c r="C57" t="str">
        <f t="shared" si="2"/>
        <v>Berubah</v>
      </c>
      <c r="D57" t="str">
        <f t="shared" si="3"/>
        <v>1.3.3.01.01.06.004</v>
      </c>
      <c r="E57" s="12" t="s">
        <v>663</v>
      </c>
      <c r="F57" s="4">
        <v>1</v>
      </c>
      <c r="G57" s="4">
        <v>3</v>
      </c>
      <c r="H57" s="4">
        <v>3</v>
      </c>
      <c r="I57" s="5" t="s">
        <v>10</v>
      </c>
      <c r="J57" s="5" t="s">
        <v>10</v>
      </c>
      <c r="K57" s="5" t="s">
        <v>66</v>
      </c>
      <c r="L57" s="5" t="s">
        <v>20</v>
      </c>
      <c r="M57" s="6" t="s">
        <v>71</v>
      </c>
      <c r="N57" s="6" t="str">
        <f t="shared" si="6"/>
        <v>Bangunan Rumah Sakit Jiwa</v>
      </c>
      <c r="O57" t="b">
        <f t="shared" si="7"/>
        <v>1</v>
      </c>
      <c r="Q57" s="12" t="s">
        <v>663</v>
      </c>
      <c r="R57" s="27">
        <v>3</v>
      </c>
      <c r="S57" s="28">
        <v>11</v>
      </c>
      <c r="T57" s="28">
        <v>1</v>
      </c>
      <c r="U57" s="28">
        <v>6</v>
      </c>
      <c r="V57" s="28">
        <v>4</v>
      </c>
      <c r="W57" s="11" t="s">
        <v>71</v>
      </c>
      <c r="X57" t="str">
        <f t="shared" si="8"/>
        <v>Bangunan Rumah Sakit Jiwa</v>
      </c>
      <c r="Y57" s="13" t="s">
        <v>413</v>
      </c>
      <c r="Z57" s="13">
        <v>34</v>
      </c>
    </row>
    <row r="58" spans="1:26" ht="26.25" customHeight="1" x14ac:dyDescent="0.25">
      <c r="A58" t="s">
        <v>1159</v>
      </c>
      <c r="B58" t="str">
        <f t="shared" si="1"/>
        <v>3.11.1.6.5</v>
      </c>
      <c r="C58" t="str">
        <f t="shared" si="2"/>
        <v>Berubah</v>
      </c>
      <c r="D58" t="str">
        <f t="shared" si="3"/>
        <v>1.3.3.01.01.06.005</v>
      </c>
      <c r="E58" s="12" t="s">
        <v>664</v>
      </c>
      <c r="F58" s="4">
        <v>1</v>
      </c>
      <c r="G58" s="4">
        <v>3</v>
      </c>
      <c r="H58" s="4">
        <v>3</v>
      </c>
      <c r="I58" s="5" t="s">
        <v>10</v>
      </c>
      <c r="J58" s="5" t="s">
        <v>10</v>
      </c>
      <c r="K58" s="5" t="s">
        <v>66</v>
      </c>
      <c r="L58" s="5" t="s">
        <v>22</v>
      </c>
      <c r="M58" s="6" t="s">
        <v>72</v>
      </c>
      <c r="N58" s="6" t="str">
        <f t="shared" si="6"/>
        <v>Bangunan Rumah Sakit Paru-Paru</v>
      </c>
      <c r="O58" t="b">
        <f t="shared" si="7"/>
        <v>1</v>
      </c>
      <c r="Q58" s="12" t="s">
        <v>664</v>
      </c>
      <c r="R58" s="27">
        <v>3</v>
      </c>
      <c r="S58" s="28">
        <v>11</v>
      </c>
      <c r="T58" s="28">
        <v>1</v>
      </c>
      <c r="U58" s="28">
        <v>6</v>
      </c>
      <c r="V58" s="28">
        <v>5</v>
      </c>
      <c r="W58" s="11" t="s">
        <v>436</v>
      </c>
      <c r="X58" t="str">
        <f t="shared" si="8"/>
        <v>Bangunan Rumah Sakit Paru-paru</v>
      </c>
      <c r="Y58" s="13" t="s">
        <v>413</v>
      </c>
      <c r="Z58" s="13">
        <v>35</v>
      </c>
    </row>
    <row r="59" spans="1:26" ht="26.25" customHeight="1" x14ac:dyDescent="0.25">
      <c r="A59" t="s">
        <v>1160</v>
      </c>
      <c r="B59" t="str">
        <f t="shared" si="1"/>
        <v>3.11.1.6.6</v>
      </c>
      <c r="C59" t="str">
        <f t="shared" si="2"/>
        <v>Berubah</v>
      </c>
      <c r="D59" t="str">
        <f t="shared" si="3"/>
        <v>1.3.3.01.01.06.006</v>
      </c>
      <c r="E59" s="12" t="s">
        <v>665</v>
      </c>
      <c r="F59" s="4">
        <v>1</v>
      </c>
      <c r="G59" s="4">
        <v>3</v>
      </c>
      <c r="H59" s="4">
        <v>3</v>
      </c>
      <c r="I59" s="5" t="s">
        <v>10</v>
      </c>
      <c r="J59" s="5" t="s">
        <v>10</v>
      </c>
      <c r="K59" s="5" t="s">
        <v>66</v>
      </c>
      <c r="L59" s="5" t="s">
        <v>31</v>
      </c>
      <c r="M59" s="6" t="s">
        <v>73</v>
      </c>
      <c r="N59" s="6" t="str">
        <f t="shared" si="6"/>
        <v>Bangunan Rumah Sakit Gigi</v>
      </c>
      <c r="O59" t="b">
        <f t="shared" si="7"/>
        <v>1</v>
      </c>
      <c r="Q59" s="12" t="s">
        <v>665</v>
      </c>
      <c r="R59" s="27">
        <v>3</v>
      </c>
      <c r="S59" s="28">
        <v>11</v>
      </c>
      <c r="T59" s="28">
        <v>1</v>
      </c>
      <c r="U59" s="28">
        <v>6</v>
      </c>
      <c r="V59" s="28">
        <v>6</v>
      </c>
      <c r="W59" s="11" t="s">
        <v>73</v>
      </c>
      <c r="X59" t="str">
        <f t="shared" si="8"/>
        <v>Bangunan Rumah Sakit Gigi</v>
      </c>
      <c r="Y59" s="13" t="s">
        <v>413</v>
      </c>
      <c r="Z59" s="13">
        <v>36</v>
      </c>
    </row>
    <row r="60" spans="1:26" ht="26.25" customHeight="1" x14ac:dyDescent="0.25">
      <c r="A60" t="s">
        <v>1161</v>
      </c>
      <c r="B60" t="str">
        <f t="shared" si="1"/>
        <v>3.11.1.6.7</v>
      </c>
      <c r="C60" t="str">
        <f t="shared" si="2"/>
        <v>Berubah</v>
      </c>
      <c r="D60" t="str">
        <f t="shared" si="3"/>
        <v>1.3.3.01.01.06.007</v>
      </c>
      <c r="E60" s="12" t="s">
        <v>666</v>
      </c>
      <c r="F60" s="4">
        <v>1</v>
      </c>
      <c r="G60" s="4">
        <v>3</v>
      </c>
      <c r="H60" s="4">
        <v>3</v>
      </c>
      <c r="I60" s="5" t="s">
        <v>10</v>
      </c>
      <c r="J60" s="5" t="s">
        <v>10</v>
      </c>
      <c r="K60" s="5" t="s">
        <v>66</v>
      </c>
      <c r="L60" s="5" t="s">
        <v>33</v>
      </c>
      <c r="M60" s="6" t="s">
        <v>74</v>
      </c>
      <c r="N60" s="6" t="str">
        <f t="shared" si="6"/>
        <v>Bangunan Rumah Sakit Jantung</v>
      </c>
      <c r="O60" t="b">
        <f t="shared" si="7"/>
        <v>0</v>
      </c>
      <c r="Q60" s="12" t="s">
        <v>666</v>
      </c>
      <c r="R60" s="27">
        <v>3</v>
      </c>
      <c r="S60" s="28">
        <v>11</v>
      </c>
      <c r="T60" s="28">
        <v>1</v>
      </c>
      <c r="U60" s="28">
        <v>6</v>
      </c>
      <c r="V60" s="28">
        <v>7</v>
      </c>
      <c r="W60" s="11" t="s">
        <v>437</v>
      </c>
      <c r="X60" t="str">
        <f t="shared" si="8"/>
        <v>BangunanRumah Sakit Jantung</v>
      </c>
      <c r="Y60" s="13" t="s">
        <v>413</v>
      </c>
      <c r="Z60" s="13">
        <v>37</v>
      </c>
    </row>
    <row r="61" spans="1:26" ht="26.25" customHeight="1" x14ac:dyDescent="0.25">
      <c r="A61" t="s">
        <v>1162</v>
      </c>
      <c r="B61" t="str">
        <f t="shared" si="1"/>
        <v>3.11.1.6.8</v>
      </c>
      <c r="C61" t="str">
        <f t="shared" si="2"/>
        <v>Berubah</v>
      </c>
      <c r="D61" t="str">
        <f t="shared" si="3"/>
        <v>1.3.3.01.01.06.008</v>
      </c>
      <c r="E61" s="12" t="s">
        <v>667</v>
      </c>
      <c r="F61" s="4">
        <v>1</v>
      </c>
      <c r="G61" s="4">
        <v>3</v>
      </c>
      <c r="H61" s="4">
        <v>3</v>
      </c>
      <c r="I61" s="5" t="s">
        <v>10</v>
      </c>
      <c r="J61" s="5" t="s">
        <v>10</v>
      </c>
      <c r="K61" s="5" t="s">
        <v>66</v>
      </c>
      <c r="L61" s="5" t="s">
        <v>35</v>
      </c>
      <c r="M61" s="6" t="s">
        <v>75</v>
      </c>
      <c r="N61" s="6" t="str">
        <f t="shared" si="6"/>
        <v>Bangunan Rumah Sakit Kanker</v>
      </c>
      <c r="O61" t="b">
        <f t="shared" si="7"/>
        <v>0</v>
      </c>
      <c r="Q61" s="12" t="s">
        <v>667</v>
      </c>
      <c r="R61" s="27">
        <v>3</v>
      </c>
      <c r="S61" s="28">
        <v>11</v>
      </c>
      <c r="T61" s="28">
        <v>1</v>
      </c>
      <c r="U61" s="28">
        <v>6</v>
      </c>
      <c r="V61" s="28">
        <v>8</v>
      </c>
      <c r="W61" s="11" t="s">
        <v>438</v>
      </c>
      <c r="X61" t="str">
        <f t="shared" si="8"/>
        <v>BangunanRumah Sakit Kanker</v>
      </c>
      <c r="Y61" s="13" t="s">
        <v>413</v>
      </c>
      <c r="Z61" s="13">
        <v>38</v>
      </c>
    </row>
    <row r="62" spans="1:26" ht="26.25" customHeight="1" x14ac:dyDescent="0.25">
      <c r="A62" t="s">
        <v>1163</v>
      </c>
      <c r="B62" t="str">
        <f t="shared" si="1"/>
        <v>3.11.1.6.9</v>
      </c>
      <c r="C62" t="str">
        <f t="shared" si="2"/>
        <v>Berubah</v>
      </c>
      <c r="D62" t="str">
        <f t="shared" si="3"/>
        <v>1.3.3.01.01.06.009</v>
      </c>
      <c r="E62" s="12" t="s">
        <v>668</v>
      </c>
      <c r="F62" s="4">
        <v>1</v>
      </c>
      <c r="G62" s="4">
        <v>3</v>
      </c>
      <c r="H62" s="4">
        <v>3</v>
      </c>
      <c r="I62" s="5" t="s">
        <v>10</v>
      </c>
      <c r="J62" s="5" t="s">
        <v>10</v>
      </c>
      <c r="K62" s="5" t="s">
        <v>66</v>
      </c>
      <c r="L62" s="5" t="s">
        <v>37</v>
      </c>
      <c r="M62" s="6" t="s">
        <v>76</v>
      </c>
      <c r="N62" s="6" t="str">
        <f t="shared" si="6"/>
        <v>Bangunan Rumah Sakit Bersalin Dan Lain-Lain</v>
      </c>
      <c r="O62" t="b">
        <f t="shared" si="7"/>
        <v>0</v>
      </c>
      <c r="Q62" s="12" t="s">
        <v>668</v>
      </c>
      <c r="R62" s="27">
        <v>3</v>
      </c>
      <c r="S62" s="28">
        <v>11</v>
      </c>
      <c r="T62" s="28">
        <v>1</v>
      </c>
      <c r="U62" s="28">
        <v>6</v>
      </c>
      <c r="V62" s="28">
        <v>9</v>
      </c>
      <c r="W62" s="11" t="s">
        <v>439</v>
      </c>
      <c r="X62" t="str">
        <f t="shared" si="8"/>
        <v>Bangunan Rumah Sakit Bersalin</v>
      </c>
      <c r="Y62" s="13" t="s">
        <v>413</v>
      </c>
      <c r="Z62" s="13">
        <v>39</v>
      </c>
    </row>
    <row r="63" spans="1:26" ht="26.25" customHeight="1" x14ac:dyDescent="0.25">
      <c r="A63" t="s">
        <v>1164</v>
      </c>
      <c r="B63" t="str">
        <f t="shared" si="1"/>
        <v>3.11.1.6.10</v>
      </c>
      <c r="C63" t="str">
        <f t="shared" si="2"/>
        <v>Berubah</v>
      </c>
      <c r="D63" t="str">
        <f t="shared" si="3"/>
        <v>1.3.3.01.01.06.010</v>
      </c>
      <c r="E63" s="12" t="s">
        <v>669</v>
      </c>
      <c r="F63" s="4">
        <v>1</v>
      </c>
      <c r="G63" s="4">
        <v>3</v>
      </c>
      <c r="H63" s="4">
        <v>3</v>
      </c>
      <c r="I63" s="5" t="s">
        <v>10</v>
      </c>
      <c r="J63" s="5" t="s">
        <v>10</v>
      </c>
      <c r="K63" s="5" t="s">
        <v>66</v>
      </c>
      <c r="L63" s="5" t="s">
        <v>39</v>
      </c>
      <c r="M63" s="6" t="s">
        <v>77</v>
      </c>
      <c r="N63" s="6" t="str">
        <f t="shared" si="6"/>
        <v>Bangunan Klinik/Puskesmas</v>
      </c>
      <c r="O63" t="b">
        <f t="shared" si="7"/>
        <v>0</v>
      </c>
      <c r="Q63" s="12" t="s">
        <v>669</v>
      </c>
      <c r="R63" s="27">
        <v>3</v>
      </c>
      <c r="S63" s="28">
        <v>11</v>
      </c>
      <c r="T63" s="28">
        <v>1</v>
      </c>
      <c r="U63" s="28">
        <v>6</v>
      </c>
      <c r="V63" s="28">
        <v>10</v>
      </c>
      <c r="W63" s="11" t="s">
        <v>440</v>
      </c>
      <c r="X63" t="str">
        <f t="shared" si="8"/>
        <v>Bangunan Klinik/Puskesmas/Laboratarium</v>
      </c>
      <c r="Y63" s="13" t="s">
        <v>413</v>
      </c>
      <c r="Z63" s="13">
        <v>40</v>
      </c>
    </row>
    <row r="64" spans="1:26" ht="26.25" customHeight="1" x14ac:dyDescent="0.25">
      <c r="A64" t="s">
        <v>1165</v>
      </c>
      <c r="B64" t="str">
        <f t="shared" si="1"/>
        <v>3.11.1.6.11</v>
      </c>
      <c r="C64" t="str">
        <f t="shared" si="2"/>
        <v>Berubah</v>
      </c>
      <c r="D64" t="str">
        <f t="shared" si="3"/>
        <v>1.3.3.01.01.06.011</v>
      </c>
      <c r="E64" s="12" t="s">
        <v>670</v>
      </c>
      <c r="F64" s="4">
        <v>1</v>
      </c>
      <c r="G64" s="4">
        <v>3</v>
      </c>
      <c r="H64" s="4">
        <v>3</v>
      </c>
      <c r="I64" s="5" t="s">
        <v>10</v>
      </c>
      <c r="J64" s="5" t="s">
        <v>10</v>
      </c>
      <c r="K64" s="5" t="s">
        <v>66</v>
      </c>
      <c r="L64" s="5" t="s">
        <v>41</v>
      </c>
      <c r="M64" s="6" t="s">
        <v>78</v>
      </c>
      <c r="N64" s="6" t="str">
        <f t="shared" si="6"/>
        <v>Bangunan Rumah Sakit Hewan</v>
      </c>
      <c r="O64" t="b">
        <f t="shared" si="7"/>
        <v>1</v>
      </c>
      <c r="Q64" s="12" t="s">
        <v>670</v>
      </c>
      <c r="R64" s="27">
        <v>3</v>
      </c>
      <c r="S64" s="28">
        <v>11</v>
      </c>
      <c r="T64" s="28">
        <v>1</v>
      </c>
      <c r="U64" s="28">
        <v>6</v>
      </c>
      <c r="V64" s="28">
        <v>11</v>
      </c>
      <c r="W64" s="11" t="s">
        <v>78</v>
      </c>
      <c r="X64" t="str">
        <f t="shared" si="8"/>
        <v>Bangunan Rumah Sakit Hewan</v>
      </c>
      <c r="Y64" s="13" t="s">
        <v>413</v>
      </c>
      <c r="Z64" s="13">
        <v>41</v>
      </c>
    </row>
    <row r="65" spans="1:26" ht="26.25" customHeight="1" x14ac:dyDescent="0.25">
      <c r="A65" t="s">
        <v>1129</v>
      </c>
      <c r="B65" t="str">
        <f t="shared" si="1"/>
        <v>....</v>
      </c>
      <c r="C65" t="str">
        <f t="shared" si="2"/>
        <v>Bertambah</v>
      </c>
      <c r="D65" t="str">
        <f t="shared" si="3"/>
        <v>1.3.3.01.01.06.012</v>
      </c>
      <c r="E65" s="12" t="s">
        <v>671</v>
      </c>
      <c r="F65" s="17">
        <v>1</v>
      </c>
      <c r="G65" s="17">
        <v>3</v>
      </c>
      <c r="H65" s="17">
        <v>3</v>
      </c>
      <c r="I65" s="18" t="s">
        <v>10</v>
      </c>
      <c r="J65" s="18" t="s">
        <v>10</v>
      </c>
      <c r="K65" s="18" t="s">
        <v>66</v>
      </c>
      <c r="L65" s="18" t="s">
        <v>43</v>
      </c>
      <c r="M65" s="19" t="s">
        <v>79</v>
      </c>
      <c r="N65" s="19" t="str">
        <f t="shared" si="6"/>
        <v>Bangunan Puskesmas Pembantu</v>
      </c>
      <c r="O65" t="b">
        <f t="shared" si="7"/>
        <v>0</v>
      </c>
      <c r="Q65" s="12" t="s">
        <v>671</v>
      </c>
      <c r="R65" s="29"/>
      <c r="S65" s="29"/>
      <c r="T65" s="29"/>
      <c r="U65" s="29"/>
      <c r="V65" s="29"/>
      <c r="W65" s="10"/>
      <c r="X65" t="str">
        <f t="shared" si="8"/>
        <v/>
      </c>
      <c r="Y65" s="10"/>
      <c r="Z65" s="10"/>
    </row>
    <row r="66" spans="1:26" ht="26.25" customHeight="1" x14ac:dyDescent="0.25">
      <c r="A66" t="s">
        <v>1129</v>
      </c>
      <c r="B66" t="str">
        <f t="shared" si="1"/>
        <v>....</v>
      </c>
      <c r="C66" t="str">
        <f t="shared" si="2"/>
        <v>Bertambah</v>
      </c>
      <c r="D66" t="str">
        <f t="shared" si="3"/>
        <v>1.3.3.01.01.06.013</v>
      </c>
      <c r="E66" s="12" t="s">
        <v>672</v>
      </c>
      <c r="F66" s="17">
        <v>1</v>
      </c>
      <c r="G66" s="17">
        <v>3</v>
      </c>
      <c r="H66" s="17">
        <v>3</v>
      </c>
      <c r="I66" s="18" t="s">
        <v>10</v>
      </c>
      <c r="J66" s="18" t="s">
        <v>10</v>
      </c>
      <c r="K66" s="18" t="s">
        <v>66</v>
      </c>
      <c r="L66" s="18" t="s">
        <v>45</v>
      </c>
      <c r="M66" s="19" t="s">
        <v>80</v>
      </c>
      <c r="N66" s="19" t="str">
        <f t="shared" si="6"/>
        <v>Bangunan Tempat Praktek Dokter</v>
      </c>
      <c r="O66" t="b">
        <f t="shared" si="7"/>
        <v>0</v>
      </c>
      <c r="Q66" s="12" t="s">
        <v>672</v>
      </c>
      <c r="R66" s="29"/>
      <c r="S66" s="29"/>
      <c r="T66" s="29"/>
      <c r="U66" s="29"/>
      <c r="V66" s="29"/>
      <c r="W66" s="10"/>
      <c r="X66" t="str">
        <f t="shared" si="8"/>
        <v/>
      </c>
      <c r="Y66" s="10"/>
      <c r="Z66" s="10"/>
    </row>
    <row r="67" spans="1:26" ht="26.25" customHeight="1" x14ac:dyDescent="0.25">
      <c r="A67" t="s">
        <v>1129</v>
      </c>
      <c r="B67" t="str">
        <f t="shared" si="1"/>
        <v>....</v>
      </c>
      <c r="C67" t="str">
        <f t="shared" si="2"/>
        <v>Bertambah</v>
      </c>
      <c r="D67" t="str">
        <f t="shared" si="3"/>
        <v>1.3.3.01.01.06.014</v>
      </c>
      <c r="E67" s="12" t="s">
        <v>673</v>
      </c>
      <c r="F67" s="17">
        <v>1</v>
      </c>
      <c r="G67" s="17">
        <v>3</v>
      </c>
      <c r="H67" s="17">
        <v>3</v>
      </c>
      <c r="I67" s="18" t="s">
        <v>10</v>
      </c>
      <c r="J67" s="18" t="s">
        <v>10</v>
      </c>
      <c r="K67" s="18" t="s">
        <v>66</v>
      </c>
      <c r="L67" s="18" t="s">
        <v>47</v>
      </c>
      <c r="M67" s="19" t="s">
        <v>81</v>
      </c>
      <c r="N67" s="19" t="str">
        <f t="shared" si="6"/>
        <v>Bangunan Tempat Praktek Bidan</v>
      </c>
      <c r="O67" t="b">
        <f t="shared" si="7"/>
        <v>0</v>
      </c>
      <c r="Q67" s="12" t="s">
        <v>673</v>
      </c>
      <c r="R67" s="29"/>
      <c r="S67" s="29"/>
      <c r="T67" s="29"/>
      <c r="U67" s="29"/>
      <c r="V67" s="29"/>
      <c r="W67" s="10"/>
      <c r="X67" t="str">
        <f t="shared" si="8"/>
        <v/>
      </c>
      <c r="Y67" s="10"/>
      <c r="Z67" s="10"/>
    </row>
    <row r="68" spans="1:26" ht="26.25" customHeight="1" x14ac:dyDescent="0.25">
      <c r="A68" t="s">
        <v>1129</v>
      </c>
      <c r="B68" t="str">
        <f t="shared" si="1"/>
        <v>....</v>
      </c>
      <c r="C68" t="str">
        <f t="shared" si="2"/>
        <v>Bertambah</v>
      </c>
      <c r="D68" t="str">
        <f t="shared" si="3"/>
        <v>1.3.3.01.01.06.015</v>
      </c>
      <c r="E68" s="12" t="s">
        <v>674</v>
      </c>
      <c r="F68" s="17">
        <v>1</v>
      </c>
      <c r="G68" s="17">
        <v>3</v>
      </c>
      <c r="H68" s="17">
        <v>3</v>
      </c>
      <c r="I68" s="18" t="s">
        <v>10</v>
      </c>
      <c r="J68" s="18" t="s">
        <v>10</v>
      </c>
      <c r="K68" s="18" t="s">
        <v>66</v>
      </c>
      <c r="L68" s="18" t="s">
        <v>82</v>
      </c>
      <c r="M68" s="19" t="s">
        <v>83</v>
      </c>
      <c r="N68" s="19" t="str">
        <f t="shared" si="6"/>
        <v>Bangunan Posyandu</v>
      </c>
      <c r="O68" t="b">
        <f t="shared" si="7"/>
        <v>0</v>
      </c>
      <c r="Q68" s="12" t="s">
        <v>674</v>
      </c>
      <c r="R68" s="29"/>
      <c r="S68" s="29"/>
      <c r="T68" s="29"/>
      <c r="U68" s="29"/>
      <c r="V68" s="29"/>
      <c r="W68" s="10"/>
      <c r="X68" t="str">
        <f t="shared" si="8"/>
        <v/>
      </c>
      <c r="Y68" s="10"/>
      <c r="Z68" s="10"/>
    </row>
    <row r="69" spans="1:26" ht="26.25" customHeight="1" x14ac:dyDescent="0.25">
      <c r="A69" t="s">
        <v>1129</v>
      </c>
      <c r="B69" t="str">
        <f t="shared" si="1"/>
        <v>....</v>
      </c>
      <c r="C69" t="str">
        <f t="shared" si="2"/>
        <v>Bertambah</v>
      </c>
      <c r="D69" t="str">
        <f t="shared" si="3"/>
        <v>1.3.3.01.01.06.016</v>
      </c>
      <c r="E69" s="12" t="s">
        <v>675</v>
      </c>
      <c r="F69" s="17">
        <v>1</v>
      </c>
      <c r="G69" s="17">
        <v>3</v>
      </c>
      <c r="H69" s="17">
        <v>3</v>
      </c>
      <c r="I69" s="18" t="s">
        <v>10</v>
      </c>
      <c r="J69" s="18" t="s">
        <v>10</v>
      </c>
      <c r="K69" s="18" t="s">
        <v>66</v>
      </c>
      <c r="L69" s="18" t="s">
        <v>84</v>
      </c>
      <c r="M69" s="19" t="s">
        <v>85</v>
      </c>
      <c r="N69" s="19" t="str">
        <f t="shared" si="6"/>
        <v>Bangunan Polindes (Pondok Bersalin Desa)</v>
      </c>
      <c r="O69" t="b">
        <f t="shared" si="7"/>
        <v>0</v>
      </c>
      <c r="Q69" s="12" t="s">
        <v>675</v>
      </c>
      <c r="R69" s="29"/>
      <c r="S69" s="29"/>
      <c r="T69" s="29"/>
      <c r="U69" s="29"/>
      <c r="V69" s="29"/>
      <c r="W69" s="10"/>
      <c r="X69" t="str">
        <f t="shared" si="8"/>
        <v/>
      </c>
      <c r="Y69" s="10"/>
      <c r="Z69" s="10"/>
    </row>
    <row r="70" spans="1:26" ht="26.25" customHeight="1" x14ac:dyDescent="0.25">
      <c r="A70" t="s">
        <v>1129</v>
      </c>
      <c r="B70" t="str">
        <f t="shared" si="1"/>
        <v>....</v>
      </c>
      <c r="C70" t="str">
        <f t="shared" si="2"/>
        <v>Bertambah</v>
      </c>
      <c r="D70" t="str">
        <f t="shared" si="3"/>
        <v>1.3.3.01.01.06.017</v>
      </c>
      <c r="E70" s="12" t="s">
        <v>676</v>
      </c>
      <c r="F70" s="17">
        <v>1</v>
      </c>
      <c r="G70" s="17">
        <v>3</v>
      </c>
      <c r="H70" s="17">
        <v>3</v>
      </c>
      <c r="I70" s="18" t="s">
        <v>10</v>
      </c>
      <c r="J70" s="18" t="s">
        <v>10</v>
      </c>
      <c r="K70" s="18" t="s">
        <v>66</v>
      </c>
      <c r="L70" s="18" t="s">
        <v>86</v>
      </c>
      <c r="M70" s="19" t="s">
        <v>87</v>
      </c>
      <c r="N70" s="19" t="str">
        <f t="shared" si="6"/>
        <v>Banguan Apotik</v>
      </c>
      <c r="O70" t="b">
        <f t="shared" si="7"/>
        <v>0</v>
      </c>
      <c r="Q70" s="12" t="s">
        <v>676</v>
      </c>
      <c r="R70" s="29"/>
      <c r="S70" s="29"/>
      <c r="T70" s="29"/>
      <c r="U70" s="29"/>
      <c r="V70" s="29"/>
      <c r="W70" s="10"/>
      <c r="X70" t="str">
        <f t="shared" si="8"/>
        <v/>
      </c>
      <c r="Y70" s="10"/>
      <c r="Z70" s="10"/>
    </row>
    <row r="71" spans="1:26" ht="26.25" customHeight="1" x14ac:dyDescent="0.25">
      <c r="A71" t="s">
        <v>1129</v>
      </c>
      <c r="B71" t="str">
        <f t="shared" ref="B71:B134" si="9">R71&amp;"."&amp;S71&amp;"."&amp;T71&amp;"."&amp;U71&amp;"."&amp;V71</f>
        <v>....</v>
      </c>
      <c r="C71" t="str">
        <f t="shared" ref="C71:C134" si="10">IF(R71&lt;&gt;"",IF(F71="","Keluar","Berubah"),"Bertambah")</f>
        <v>Bertambah</v>
      </c>
      <c r="D71" t="str">
        <f t="shared" si="3"/>
        <v>1.3.3.01.01.06.018</v>
      </c>
      <c r="E71" s="12" t="s">
        <v>677</v>
      </c>
      <c r="F71" s="17">
        <v>1</v>
      </c>
      <c r="G71" s="17">
        <v>3</v>
      </c>
      <c r="H71" s="17">
        <v>3</v>
      </c>
      <c r="I71" s="18" t="s">
        <v>10</v>
      </c>
      <c r="J71" s="18" t="s">
        <v>10</v>
      </c>
      <c r="K71" s="18" t="s">
        <v>66</v>
      </c>
      <c r="L71" s="18" t="s">
        <v>88</v>
      </c>
      <c r="M71" s="19" t="s">
        <v>89</v>
      </c>
      <c r="N71" s="19" t="str">
        <f t="shared" si="6"/>
        <v>Bangunan Toko khusus obat/jamu</v>
      </c>
      <c r="O71" t="b">
        <f t="shared" si="7"/>
        <v>0</v>
      </c>
      <c r="Q71" s="12" t="s">
        <v>677</v>
      </c>
      <c r="R71" s="29"/>
      <c r="S71" s="29"/>
      <c r="T71" s="29"/>
      <c r="U71" s="29"/>
      <c r="V71" s="29"/>
      <c r="W71" s="10"/>
      <c r="X71" t="str">
        <f t="shared" si="8"/>
        <v/>
      </c>
      <c r="Y71" s="10"/>
      <c r="Z71" s="10"/>
    </row>
    <row r="72" spans="1:26" ht="26.25" customHeight="1" x14ac:dyDescent="0.25">
      <c r="A72" t="s">
        <v>1166</v>
      </c>
      <c r="B72" t="str">
        <f t="shared" si="9"/>
        <v>3.11.1.6.12</v>
      </c>
      <c r="C72" t="str">
        <f t="shared" si="10"/>
        <v>Berubah</v>
      </c>
      <c r="D72" t="str">
        <f t="shared" ref="D72:D135" si="11">F72&amp;"."&amp;G72&amp;"."&amp;H72&amp;"."&amp;I72&amp;"."&amp;J72&amp;"."&amp;K72&amp;"."&amp;L72</f>
        <v>1.3.3.01.01.06.019</v>
      </c>
      <c r="E72" s="12" t="s">
        <v>678</v>
      </c>
      <c r="F72" s="4">
        <v>1</v>
      </c>
      <c r="G72" s="4">
        <v>3</v>
      </c>
      <c r="H72" s="4">
        <v>3</v>
      </c>
      <c r="I72" s="5" t="s">
        <v>10</v>
      </c>
      <c r="J72" s="5" t="s">
        <v>10</v>
      </c>
      <c r="K72" s="5" t="s">
        <v>66</v>
      </c>
      <c r="L72" s="5" t="s">
        <v>90</v>
      </c>
      <c r="M72" s="6" t="s">
        <v>23</v>
      </c>
      <c r="N72" s="6" t="str">
        <f t="shared" si="6"/>
        <v>Dst….</v>
      </c>
      <c r="O72" t="b">
        <f t="shared" si="7"/>
        <v>0</v>
      </c>
      <c r="Q72" s="12" t="s">
        <v>678</v>
      </c>
      <c r="R72" s="27">
        <v>3</v>
      </c>
      <c r="S72" s="28">
        <v>11</v>
      </c>
      <c r="T72" s="28">
        <v>1</v>
      </c>
      <c r="U72" s="28">
        <v>6</v>
      </c>
      <c r="V72" s="28">
        <v>12</v>
      </c>
      <c r="W72" s="11" t="s">
        <v>415</v>
      </c>
      <c r="X72" t="str">
        <f t="shared" si="8"/>
        <v>Lain-lain</v>
      </c>
      <c r="Y72" s="13" t="s">
        <v>413</v>
      </c>
      <c r="Z72" s="13">
        <v>42</v>
      </c>
    </row>
    <row r="73" spans="1:26" ht="26.25" customHeight="1" x14ac:dyDescent="0.25">
      <c r="A73" t="s">
        <v>1167</v>
      </c>
      <c r="B73" t="str">
        <f t="shared" si="9"/>
        <v>3.11.1.7.*</v>
      </c>
      <c r="C73" t="str">
        <f t="shared" si="10"/>
        <v>Berubah</v>
      </c>
      <c r="D73" t="str">
        <f t="shared" si="11"/>
        <v>1.3.3.01.01.07.</v>
      </c>
      <c r="E73" s="12" t="s">
        <v>679</v>
      </c>
      <c r="F73" s="4">
        <v>1</v>
      </c>
      <c r="G73" s="4">
        <v>3</v>
      </c>
      <c r="H73" s="4">
        <v>3</v>
      </c>
      <c r="I73" s="5" t="s">
        <v>10</v>
      </c>
      <c r="J73" s="5" t="s">
        <v>10</v>
      </c>
      <c r="K73" s="5" t="s">
        <v>91</v>
      </c>
      <c r="L73" s="5"/>
      <c r="M73" s="6" t="s">
        <v>92</v>
      </c>
      <c r="N73" s="6" t="str">
        <f t="shared" si="6"/>
        <v>BANGUNAN OCEANARIUM/OBSERVATORIUM</v>
      </c>
      <c r="O73" t="b">
        <f t="shared" si="7"/>
        <v>0</v>
      </c>
      <c r="Q73" s="12" t="s">
        <v>679</v>
      </c>
      <c r="R73" s="27">
        <v>3</v>
      </c>
      <c r="S73" s="28">
        <v>11</v>
      </c>
      <c r="T73" s="28">
        <v>1</v>
      </c>
      <c r="U73" s="28">
        <v>7</v>
      </c>
      <c r="V73" s="28" t="s">
        <v>411</v>
      </c>
      <c r="W73" s="11" t="s">
        <v>441</v>
      </c>
      <c r="X73" t="str">
        <f t="shared" si="8"/>
        <v>Bangunan Oceanarium/Opservatorium</v>
      </c>
      <c r="Y73" s="13" t="s">
        <v>413</v>
      </c>
      <c r="Z73" s="13">
        <v>43</v>
      </c>
    </row>
    <row r="74" spans="1:26" ht="26.25" customHeight="1" x14ac:dyDescent="0.25">
      <c r="A74" t="s">
        <v>1168</v>
      </c>
      <c r="B74" t="str">
        <f t="shared" si="9"/>
        <v>3.11.1.7.1</v>
      </c>
      <c r="C74" t="str">
        <f t="shared" si="10"/>
        <v>Berubah</v>
      </c>
      <c r="D74" t="str">
        <f t="shared" si="11"/>
        <v>1.3.3.01.01.07.001</v>
      </c>
      <c r="E74" s="12" t="s">
        <v>680</v>
      </c>
      <c r="F74" s="4">
        <v>1</v>
      </c>
      <c r="G74" s="4">
        <v>3</v>
      </c>
      <c r="H74" s="4">
        <v>3</v>
      </c>
      <c r="I74" s="5" t="s">
        <v>10</v>
      </c>
      <c r="J74" s="5" t="s">
        <v>10</v>
      </c>
      <c r="K74" s="5" t="s">
        <v>91</v>
      </c>
      <c r="L74" s="5" t="s">
        <v>14</v>
      </c>
      <c r="M74" s="6" t="s">
        <v>93</v>
      </c>
      <c r="N74" s="6" t="str">
        <f t="shared" si="6"/>
        <v>Bangunan Oceanarium/Observatorium Permanen</v>
      </c>
      <c r="O74" t="b">
        <f t="shared" si="7"/>
        <v>0</v>
      </c>
      <c r="Q74" s="12" t="s">
        <v>680</v>
      </c>
      <c r="R74" s="27">
        <v>3</v>
      </c>
      <c r="S74" s="28">
        <v>11</v>
      </c>
      <c r="T74" s="28">
        <v>1</v>
      </c>
      <c r="U74" s="28">
        <v>7</v>
      </c>
      <c r="V74" s="28">
        <v>1</v>
      </c>
      <c r="W74" s="11" t="s">
        <v>442</v>
      </c>
      <c r="X74" t="str">
        <f t="shared" si="8"/>
        <v>Bangunan Oceanarium/Opservatorium Permanen</v>
      </c>
      <c r="Y74" s="13" t="s">
        <v>413</v>
      </c>
      <c r="Z74" s="13">
        <v>44</v>
      </c>
    </row>
    <row r="75" spans="1:26" ht="26.25" customHeight="1" x14ac:dyDescent="0.25">
      <c r="A75" t="s">
        <v>1169</v>
      </c>
      <c r="B75" t="str">
        <f t="shared" si="9"/>
        <v>3.11.1.7.2</v>
      </c>
      <c r="C75" t="str">
        <f t="shared" si="10"/>
        <v>Berubah</v>
      </c>
      <c r="D75" t="str">
        <f t="shared" si="11"/>
        <v>1.3.3.01.01.07.002</v>
      </c>
      <c r="E75" s="12" t="s">
        <v>681</v>
      </c>
      <c r="F75" s="4">
        <v>1</v>
      </c>
      <c r="G75" s="4">
        <v>3</v>
      </c>
      <c r="H75" s="4">
        <v>3</v>
      </c>
      <c r="I75" s="5" t="s">
        <v>10</v>
      </c>
      <c r="J75" s="5" t="s">
        <v>10</v>
      </c>
      <c r="K75" s="5" t="s">
        <v>91</v>
      </c>
      <c r="L75" s="5" t="s">
        <v>16</v>
      </c>
      <c r="M75" s="6" t="s">
        <v>94</v>
      </c>
      <c r="N75" s="6" t="str">
        <f t="shared" si="6"/>
        <v>Bangunan Oceanarium/Observatorium Semi Permanen</v>
      </c>
      <c r="O75" t="b">
        <f t="shared" si="7"/>
        <v>0</v>
      </c>
      <c r="Q75" s="12" t="s">
        <v>681</v>
      </c>
      <c r="R75" s="27">
        <v>3</v>
      </c>
      <c r="S75" s="28">
        <v>11</v>
      </c>
      <c r="T75" s="28">
        <v>1</v>
      </c>
      <c r="U75" s="28">
        <v>7</v>
      </c>
      <c r="V75" s="28">
        <v>2</v>
      </c>
      <c r="W75" s="11" t="s">
        <v>443</v>
      </c>
      <c r="X75" t="str">
        <f t="shared" si="8"/>
        <v>Bangunan Oceanarium/Opservatorium Semi Permenen</v>
      </c>
      <c r="Y75" s="13" t="s">
        <v>413</v>
      </c>
      <c r="Z75" s="13">
        <v>45</v>
      </c>
    </row>
    <row r="76" spans="1:26" ht="26.25" customHeight="1" x14ac:dyDescent="0.25">
      <c r="A76" t="s">
        <v>1170</v>
      </c>
      <c r="B76" t="str">
        <f t="shared" si="9"/>
        <v>3.11.1.7.3</v>
      </c>
      <c r="C76" t="str">
        <f t="shared" si="10"/>
        <v>Berubah</v>
      </c>
      <c r="D76" t="str">
        <f t="shared" si="11"/>
        <v>1.3.3.01.01.07.003</v>
      </c>
      <c r="E76" s="12" t="s">
        <v>682</v>
      </c>
      <c r="F76" s="4">
        <v>1</v>
      </c>
      <c r="G76" s="4">
        <v>3</v>
      </c>
      <c r="H76" s="4">
        <v>3</v>
      </c>
      <c r="I76" s="5" t="s">
        <v>10</v>
      </c>
      <c r="J76" s="5" t="s">
        <v>10</v>
      </c>
      <c r="K76" s="5" t="s">
        <v>91</v>
      </c>
      <c r="L76" s="5" t="s">
        <v>18</v>
      </c>
      <c r="M76" s="6" t="s">
        <v>95</v>
      </c>
      <c r="N76" s="6" t="str">
        <f t="shared" si="6"/>
        <v>Bangunan Oceanarium/Observatorium Darurat</v>
      </c>
      <c r="O76" t="b">
        <f t="shared" si="7"/>
        <v>0</v>
      </c>
      <c r="Q76" s="12" t="s">
        <v>682</v>
      </c>
      <c r="R76" s="27">
        <v>3</v>
      </c>
      <c r="S76" s="28">
        <v>11</v>
      </c>
      <c r="T76" s="28">
        <v>1</v>
      </c>
      <c r="U76" s="28">
        <v>7</v>
      </c>
      <c r="V76" s="28">
        <v>3</v>
      </c>
      <c r="W76" s="11" t="s">
        <v>444</v>
      </c>
      <c r="X76" t="str">
        <f t="shared" si="8"/>
        <v>Bangunan Oceanarium/Opservatorium Darurat</v>
      </c>
      <c r="Y76" s="13" t="s">
        <v>413</v>
      </c>
      <c r="Z76" s="13">
        <v>46</v>
      </c>
    </row>
    <row r="77" spans="1:26" ht="26.25" customHeight="1" x14ac:dyDescent="0.25">
      <c r="A77" t="s">
        <v>1171</v>
      </c>
      <c r="B77" t="str">
        <f t="shared" si="9"/>
        <v>3.11.1.7.4</v>
      </c>
      <c r="C77" t="str">
        <f t="shared" si="10"/>
        <v>Berubah</v>
      </c>
      <c r="D77" t="str">
        <f t="shared" si="11"/>
        <v>1.3.3.01.01.07.004</v>
      </c>
      <c r="E77" s="12" t="s">
        <v>683</v>
      </c>
      <c r="F77" s="4">
        <v>1</v>
      </c>
      <c r="G77" s="4">
        <v>3</v>
      </c>
      <c r="H77" s="4">
        <v>3</v>
      </c>
      <c r="I77" s="5" t="s">
        <v>10</v>
      </c>
      <c r="J77" s="5" t="s">
        <v>10</v>
      </c>
      <c r="K77" s="5" t="s">
        <v>91</v>
      </c>
      <c r="L77" s="5" t="s">
        <v>20</v>
      </c>
      <c r="M77" s="6" t="s">
        <v>23</v>
      </c>
      <c r="N77" s="6" t="str">
        <f t="shared" si="6"/>
        <v>Dst….</v>
      </c>
      <c r="O77" t="b">
        <f t="shared" si="7"/>
        <v>0</v>
      </c>
      <c r="Q77" s="12" t="s">
        <v>683</v>
      </c>
      <c r="R77" s="27">
        <v>3</v>
      </c>
      <c r="S77" s="28">
        <v>11</v>
      </c>
      <c r="T77" s="28">
        <v>1</v>
      </c>
      <c r="U77" s="28">
        <v>7</v>
      </c>
      <c r="V77" s="28">
        <v>4</v>
      </c>
      <c r="W77" s="11" t="s">
        <v>445</v>
      </c>
      <c r="X77" t="str">
        <f t="shared" si="8"/>
        <v>Lain -lain</v>
      </c>
      <c r="Y77" s="13" t="s">
        <v>413</v>
      </c>
      <c r="Z77" s="13">
        <v>47</v>
      </c>
    </row>
    <row r="78" spans="1:26" ht="26.25" customHeight="1" x14ac:dyDescent="0.25">
      <c r="A78" t="s">
        <v>1129</v>
      </c>
      <c r="B78" t="str">
        <f t="shared" si="9"/>
        <v>....</v>
      </c>
      <c r="C78" t="str">
        <f t="shared" si="10"/>
        <v>Bertambah</v>
      </c>
      <c r="D78" t="str">
        <f t="shared" si="11"/>
        <v>......</v>
      </c>
      <c r="E78" s="12" t="s">
        <v>684</v>
      </c>
      <c r="F78" s="4"/>
      <c r="G78" s="4"/>
      <c r="H78" s="4"/>
      <c r="I78" s="5"/>
      <c r="J78" s="5"/>
      <c r="K78" s="5"/>
      <c r="L78" s="5"/>
      <c r="M78" s="6"/>
      <c r="N78" s="6" t="str">
        <f t="shared" si="6"/>
        <v/>
      </c>
      <c r="O78" t="b">
        <f t="shared" si="7"/>
        <v>1</v>
      </c>
      <c r="Q78" s="12" t="s">
        <v>684</v>
      </c>
      <c r="R78" s="29"/>
      <c r="S78" s="29"/>
      <c r="T78" s="29"/>
      <c r="U78" s="29"/>
      <c r="V78" s="29"/>
      <c r="W78" s="10"/>
      <c r="X78" t="str">
        <f t="shared" si="8"/>
        <v/>
      </c>
      <c r="Y78" s="10"/>
      <c r="Z78" s="10"/>
    </row>
    <row r="79" spans="1:26" ht="26.25" customHeight="1" x14ac:dyDescent="0.25">
      <c r="A79" t="s">
        <v>1172</v>
      </c>
      <c r="B79" t="str">
        <f t="shared" si="9"/>
        <v>3.11.1.8.*</v>
      </c>
      <c r="C79" t="str">
        <f t="shared" si="10"/>
        <v>Berubah</v>
      </c>
      <c r="D79" t="str">
        <f t="shared" si="11"/>
        <v>1.3.3.01.01.08.</v>
      </c>
      <c r="E79" s="12" t="s">
        <v>685</v>
      </c>
      <c r="F79" s="4">
        <v>1</v>
      </c>
      <c r="G79" s="4">
        <v>3</v>
      </c>
      <c r="H79" s="4">
        <v>3</v>
      </c>
      <c r="I79" s="5" t="s">
        <v>10</v>
      </c>
      <c r="J79" s="5" t="s">
        <v>10</v>
      </c>
      <c r="K79" s="5" t="s">
        <v>96</v>
      </c>
      <c r="L79" s="5"/>
      <c r="M79" s="6" t="s">
        <v>97</v>
      </c>
      <c r="N79" s="6" t="str">
        <f t="shared" si="6"/>
        <v>BANGUNAN GEDUNG TEMPAT IBADAH</v>
      </c>
      <c r="O79" t="b">
        <f t="shared" si="7"/>
        <v>1</v>
      </c>
      <c r="Q79" s="12" t="s">
        <v>685</v>
      </c>
      <c r="R79" s="27">
        <v>3</v>
      </c>
      <c r="S79" s="28">
        <v>11</v>
      </c>
      <c r="T79" s="28">
        <v>1</v>
      </c>
      <c r="U79" s="28">
        <v>8</v>
      </c>
      <c r="V79" s="28" t="s">
        <v>411</v>
      </c>
      <c r="W79" s="11" t="s">
        <v>446</v>
      </c>
      <c r="X79" t="str">
        <f t="shared" si="8"/>
        <v>Bangunan Gedung Tempat Ibadah</v>
      </c>
      <c r="Y79" s="13" t="s">
        <v>413</v>
      </c>
      <c r="Z79" s="13">
        <v>48</v>
      </c>
    </row>
    <row r="80" spans="1:26" ht="26.25" customHeight="1" x14ac:dyDescent="0.25">
      <c r="A80" t="s">
        <v>1173</v>
      </c>
      <c r="B80" t="str">
        <f t="shared" si="9"/>
        <v>3.11.1.8.1</v>
      </c>
      <c r="C80" t="str">
        <f t="shared" si="10"/>
        <v>Berubah</v>
      </c>
      <c r="D80" t="str">
        <f t="shared" si="11"/>
        <v>1.3.3.01.01.08.001</v>
      </c>
      <c r="E80" s="12" t="s">
        <v>686</v>
      </c>
      <c r="F80" s="4">
        <v>1</v>
      </c>
      <c r="G80" s="4">
        <v>3</v>
      </c>
      <c r="H80" s="4">
        <v>3</v>
      </c>
      <c r="I80" s="5" t="s">
        <v>10</v>
      </c>
      <c r="J80" s="5" t="s">
        <v>10</v>
      </c>
      <c r="K80" s="5" t="s">
        <v>96</v>
      </c>
      <c r="L80" s="5" t="s">
        <v>14</v>
      </c>
      <c r="M80" s="6" t="s">
        <v>98</v>
      </c>
      <c r="N80" s="6" t="str">
        <f t="shared" si="6"/>
        <v>Bangunan Gedung Tempat Ibadah Permanen</v>
      </c>
      <c r="O80" t="b">
        <f t="shared" si="7"/>
        <v>0</v>
      </c>
      <c r="Q80" s="12" t="s">
        <v>686</v>
      </c>
      <c r="R80" s="27">
        <v>3</v>
      </c>
      <c r="S80" s="28">
        <v>11</v>
      </c>
      <c r="T80" s="28">
        <v>1</v>
      </c>
      <c r="U80" s="28">
        <v>8</v>
      </c>
      <c r="V80" s="28">
        <v>1</v>
      </c>
      <c r="W80" s="11" t="s">
        <v>447</v>
      </c>
      <c r="X80" t="str">
        <f t="shared" si="8"/>
        <v>Bangunan Tempat Ibadah Permanen</v>
      </c>
      <c r="Y80" s="13" t="s">
        <v>413</v>
      </c>
      <c r="Z80" s="13">
        <v>49</v>
      </c>
    </row>
    <row r="81" spans="1:26" ht="26.25" customHeight="1" x14ac:dyDescent="0.25">
      <c r="A81" t="s">
        <v>1174</v>
      </c>
      <c r="B81" t="str">
        <f t="shared" si="9"/>
        <v>3.11.1.8.2</v>
      </c>
      <c r="C81" t="str">
        <f t="shared" si="10"/>
        <v>Berubah</v>
      </c>
      <c r="D81" t="str">
        <f t="shared" si="11"/>
        <v>1.3.3.01.01.08.002</v>
      </c>
      <c r="E81" s="12" t="s">
        <v>687</v>
      </c>
      <c r="F81" s="4">
        <v>1</v>
      </c>
      <c r="G81" s="4">
        <v>3</v>
      </c>
      <c r="H81" s="4">
        <v>3</v>
      </c>
      <c r="I81" s="5" t="s">
        <v>10</v>
      </c>
      <c r="J81" s="5" t="s">
        <v>10</v>
      </c>
      <c r="K81" s="5" t="s">
        <v>96</v>
      </c>
      <c r="L81" s="5" t="s">
        <v>16</v>
      </c>
      <c r="M81" s="6" t="s">
        <v>99</v>
      </c>
      <c r="N81" s="6" t="str">
        <f t="shared" si="6"/>
        <v>Bangunan Gedung Tempat Ibadah Semi Permanen</v>
      </c>
      <c r="O81" t="b">
        <f t="shared" si="7"/>
        <v>0</v>
      </c>
      <c r="Q81" s="12" t="s">
        <v>687</v>
      </c>
      <c r="R81" s="27">
        <v>3</v>
      </c>
      <c r="S81" s="28">
        <v>11</v>
      </c>
      <c r="T81" s="28">
        <v>1</v>
      </c>
      <c r="U81" s="28">
        <v>8</v>
      </c>
      <c r="V81" s="28">
        <v>2</v>
      </c>
      <c r="W81" s="11" t="s">
        <v>448</v>
      </c>
      <c r="X81" t="str">
        <f t="shared" si="8"/>
        <v>Bangunan Tempat Ibadah Semi Permanen</v>
      </c>
      <c r="Y81" s="13" t="s">
        <v>413</v>
      </c>
      <c r="Z81" s="13">
        <v>50</v>
      </c>
    </row>
    <row r="82" spans="1:26" ht="26.25" customHeight="1" x14ac:dyDescent="0.25">
      <c r="A82" t="s">
        <v>1175</v>
      </c>
      <c r="B82" t="str">
        <f t="shared" si="9"/>
        <v>3.11.1.8.3</v>
      </c>
      <c r="C82" t="str">
        <f t="shared" si="10"/>
        <v>Berubah</v>
      </c>
      <c r="D82" t="str">
        <f t="shared" si="11"/>
        <v>1.3.3.01.01.08.003</v>
      </c>
      <c r="E82" s="12" t="s">
        <v>688</v>
      </c>
      <c r="F82" s="4">
        <v>1</v>
      </c>
      <c r="G82" s="4">
        <v>3</v>
      </c>
      <c r="H82" s="4">
        <v>3</v>
      </c>
      <c r="I82" s="5" t="s">
        <v>10</v>
      </c>
      <c r="J82" s="5" t="s">
        <v>10</v>
      </c>
      <c r="K82" s="5" t="s">
        <v>96</v>
      </c>
      <c r="L82" s="5" t="s">
        <v>18</v>
      </c>
      <c r="M82" s="6" t="s">
        <v>100</v>
      </c>
      <c r="N82" s="6" t="str">
        <f t="shared" si="6"/>
        <v>Bangunan Gedung Tempat Ibadah Darurat</v>
      </c>
      <c r="O82" t="b">
        <f t="shared" si="7"/>
        <v>0</v>
      </c>
      <c r="Q82" s="12" t="s">
        <v>688</v>
      </c>
      <c r="R82" s="27">
        <v>3</v>
      </c>
      <c r="S82" s="28">
        <v>11</v>
      </c>
      <c r="T82" s="28">
        <v>1</v>
      </c>
      <c r="U82" s="28">
        <v>8</v>
      </c>
      <c r="V82" s="28">
        <v>3</v>
      </c>
      <c r="W82" s="11" t="s">
        <v>449</v>
      </c>
      <c r="X82" t="str">
        <f t="shared" si="8"/>
        <v>Bangunan Tempat Ibadah Darurat</v>
      </c>
      <c r="Y82" s="13" t="s">
        <v>413</v>
      </c>
      <c r="Z82" s="13">
        <v>51</v>
      </c>
    </row>
    <row r="83" spans="1:26" ht="26.25" customHeight="1" x14ac:dyDescent="0.25">
      <c r="A83" t="s">
        <v>1176</v>
      </c>
      <c r="B83" t="str">
        <f t="shared" si="9"/>
        <v>3.11.1.8.4</v>
      </c>
      <c r="C83" t="str">
        <f t="shared" si="10"/>
        <v>Berubah</v>
      </c>
      <c r="D83" t="str">
        <f t="shared" si="11"/>
        <v>1.3.3.01.01.08.004</v>
      </c>
      <c r="E83" s="12" t="s">
        <v>689</v>
      </c>
      <c r="F83" s="4">
        <v>1</v>
      </c>
      <c r="G83" s="4">
        <v>3</v>
      </c>
      <c r="H83" s="4">
        <v>3</v>
      </c>
      <c r="I83" s="5" t="s">
        <v>10</v>
      </c>
      <c r="J83" s="5" t="s">
        <v>10</v>
      </c>
      <c r="K83" s="5" t="s">
        <v>96</v>
      </c>
      <c r="L83" s="5" t="s">
        <v>20</v>
      </c>
      <c r="M83" s="6" t="s">
        <v>23</v>
      </c>
      <c r="N83" s="6" t="str">
        <f t="shared" si="6"/>
        <v>Dst….</v>
      </c>
      <c r="O83" t="b">
        <f t="shared" si="7"/>
        <v>0</v>
      </c>
      <c r="Q83" s="12" t="s">
        <v>689</v>
      </c>
      <c r="R83" s="27">
        <v>3</v>
      </c>
      <c r="S83" s="28">
        <v>11</v>
      </c>
      <c r="T83" s="28">
        <v>1</v>
      </c>
      <c r="U83" s="28">
        <v>8</v>
      </c>
      <c r="V83" s="28">
        <v>4</v>
      </c>
      <c r="W83" s="11" t="s">
        <v>415</v>
      </c>
      <c r="X83" t="str">
        <f t="shared" si="8"/>
        <v>Lain-lain</v>
      </c>
      <c r="Y83" s="13" t="s">
        <v>413</v>
      </c>
      <c r="Z83" s="13">
        <v>52</v>
      </c>
    </row>
    <row r="84" spans="1:26" ht="26.25" customHeight="1" x14ac:dyDescent="0.25">
      <c r="A84" t="s">
        <v>1129</v>
      </c>
      <c r="B84" t="str">
        <f t="shared" si="9"/>
        <v>....</v>
      </c>
      <c r="C84" t="str">
        <f t="shared" si="10"/>
        <v>Bertambah</v>
      </c>
      <c r="D84" t="str">
        <f t="shared" si="11"/>
        <v>......</v>
      </c>
      <c r="E84" s="12" t="s">
        <v>690</v>
      </c>
      <c r="F84" s="4"/>
      <c r="G84" s="4"/>
      <c r="H84" s="4"/>
      <c r="I84" s="5"/>
      <c r="J84" s="5"/>
      <c r="K84" s="5"/>
      <c r="L84" s="5"/>
      <c r="M84" s="6"/>
      <c r="N84" s="6" t="str">
        <f t="shared" si="6"/>
        <v/>
      </c>
      <c r="O84" t="b">
        <f t="shared" si="7"/>
        <v>1</v>
      </c>
      <c r="Q84" s="12" t="s">
        <v>690</v>
      </c>
      <c r="R84" s="29"/>
      <c r="S84" s="29"/>
      <c r="T84" s="29"/>
      <c r="U84" s="29"/>
      <c r="V84" s="29"/>
      <c r="W84" s="10"/>
      <c r="X84" t="str">
        <f t="shared" si="8"/>
        <v/>
      </c>
      <c r="Y84" s="10"/>
      <c r="Z84" s="10"/>
    </row>
    <row r="85" spans="1:26" ht="26.25" customHeight="1" x14ac:dyDescent="0.25">
      <c r="A85" t="s">
        <v>1177</v>
      </c>
      <c r="B85" t="str">
        <f t="shared" si="9"/>
        <v>3.11.1.9.*</v>
      </c>
      <c r="C85" t="str">
        <f t="shared" si="10"/>
        <v>Berubah</v>
      </c>
      <c r="D85" t="str">
        <f t="shared" si="11"/>
        <v>1.3.3.01.01.09.</v>
      </c>
      <c r="E85" s="12" t="s">
        <v>691</v>
      </c>
      <c r="F85" s="4">
        <v>1</v>
      </c>
      <c r="G85" s="4">
        <v>3</v>
      </c>
      <c r="H85" s="4">
        <v>3</v>
      </c>
      <c r="I85" s="5" t="s">
        <v>10</v>
      </c>
      <c r="J85" s="5" t="s">
        <v>10</v>
      </c>
      <c r="K85" s="5" t="s">
        <v>101</v>
      </c>
      <c r="L85" s="5"/>
      <c r="M85" s="6" t="s">
        <v>102</v>
      </c>
      <c r="N85" s="6" t="str">
        <f t="shared" si="6"/>
        <v>BANGUNAN GEDUNG TEMPAT PERTEMUAN</v>
      </c>
      <c r="O85" t="b">
        <f t="shared" si="7"/>
        <v>1</v>
      </c>
      <c r="Q85" s="12" t="s">
        <v>691</v>
      </c>
      <c r="R85" s="27">
        <v>3</v>
      </c>
      <c r="S85" s="28">
        <v>11</v>
      </c>
      <c r="T85" s="28">
        <v>1</v>
      </c>
      <c r="U85" s="28">
        <v>9</v>
      </c>
      <c r="V85" s="28" t="s">
        <v>411</v>
      </c>
      <c r="W85" s="11" t="s">
        <v>450</v>
      </c>
      <c r="X85" t="str">
        <f t="shared" si="8"/>
        <v>Bangunan Gedung Tempat Pertemuan</v>
      </c>
      <c r="Y85" s="13" t="s">
        <v>413</v>
      </c>
      <c r="Z85" s="13">
        <v>53</v>
      </c>
    </row>
    <row r="86" spans="1:26" ht="26.25" customHeight="1" x14ac:dyDescent="0.25">
      <c r="A86" t="s">
        <v>1178</v>
      </c>
      <c r="B86" t="str">
        <f t="shared" si="9"/>
        <v>3.11.1.9.1</v>
      </c>
      <c r="C86" t="str">
        <f t="shared" si="10"/>
        <v>Berubah</v>
      </c>
      <c r="D86" t="str">
        <f t="shared" si="11"/>
        <v>1.3.3.01.01.09.001</v>
      </c>
      <c r="E86" s="12" t="s">
        <v>692</v>
      </c>
      <c r="F86" s="4">
        <v>1</v>
      </c>
      <c r="G86" s="4">
        <v>3</v>
      </c>
      <c r="H86" s="4">
        <v>3</v>
      </c>
      <c r="I86" s="5" t="s">
        <v>10</v>
      </c>
      <c r="J86" s="5" t="s">
        <v>10</v>
      </c>
      <c r="K86" s="5" t="s">
        <v>101</v>
      </c>
      <c r="L86" s="5" t="s">
        <v>14</v>
      </c>
      <c r="M86" s="6" t="s">
        <v>103</v>
      </c>
      <c r="N86" s="6" t="str">
        <f t="shared" si="6"/>
        <v>Bangunan Gedung Pertemuan Permanen</v>
      </c>
      <c r="O86" t="b">
        <f t="shared" si="7"/>
        <v>1</v>
      </c>
      <c r="Q86" s="12" t="s">
        <v>692</v>
      </c>
      <c r="R86" s="27">
        <v>3</v>
      </c>
      <c r="S86" s="28">
        <v>11</v>
      </c>
      <c r="T86" s="28">
        <v>1</v>
      </c>
      <c r="U86" s="28">
        <v>9</v>
      </c>
      <c r="V86" s="28">
        <v>1</v>
      </c>
      <c r="W86" s="11" t="s">
        <v>103</v>
      </c>
      <c r="X86" t="str">
        <f t="shared" si="8"/>
        <v>Bangunan Gedung Pertemuan Permanen</v>
      </c>
      <c r="Y86" s="13" t="s">
        <v>413</v>
      </c>
      <c r="Z86" s="13">
        <v>54</v>
      </c>
    </row>
    <row r="87" spans="1:26" ht="26.25" customHeight="1" x14ac:dyDescent="0.25">
      <c r="A87" t="s">
        <v>1179</v>
      </c>
      <c r="B87" t="str">
        <f t="shared" si="9"/>
        <v>3.11.1.9.2</v>
      </c>
      <c r="C87" t="str">
        <f t="shared" si="10"/>
        <v>Berubah</v>
      </c>
      <c r="D87" t="str">
        <f t="shared" si="11"/>
        <v>1.3.3.01.01.09.002</v>
      </c>
      <c r="E87" s="12" t="s">
        <v>693</v>
      </c>
      <c r="F87" s="4">
        <v>1</v>
      </c>
      <c r="G87" s="4">
        <v>3</v>
      </c>
      <c r="H87" s="4">
        <v>3</v>
      </c>
      <c r="I87" s="5" t="s">
        <v>10</v>
      </c>
      <c r="J87" s="5" t="s">
        <v>10</v>
      </c>
      <c r="K87" s="5" t="s">
        <v>101</v>
      </c>
      <c r="L87" s="5" t="s">
        <v>16</v>
      </c>
      <c r="M87" s="6" t="s">
        <v>104</v>
      </c>
      <c r="N87" s="6" t="str">
        <f t="shared" si="6"/>
        <v>Bangunan Gedung Pertemuan Semi Permanen</v>
      </c>
      <c r="O87" t="b">
        <f t="shared" si="7"/>
        <v>1</v>
      </c>
      <c r="Q87" s="12" t="s">
        <v>693</v>
      </c>
      <c r="R87" s="27">
        <v>3</v>
      </c>
      <c r="S87" s="28">
        <v>11</v>
      </c>
      <c r="T87" s="28">
        <v>1</v>
      </c>
      <c r="U87" s="28">
        <v>9</v>
      </c>
      <c r="V87" s="28">
        <v>2</v>
      </c>
      <c r="W87" s="11" t="s">
        <v>104</v>
      </c>
      <c r="X87" t="str">
        <f t="shared" si="8"/>
        <v>Bangunan Gedung Pertemuan Semi Permanen</v>
      </c>
      <c r="Y87" s="13" t="s">
        <v>413</v>
      </c>
      <c r="Z87" s="13">
        <v>55</v>
      </c>
    </row>
    <row r="88" spans="1:26" ht="26.25" customHeight="1" x14ac:dyDescent="0.25">
      <c r="A88" t="s">
        <v>1180</v>
      </c>
      <c r="B88" t="str">
        <f t="shared" si="9"/>
        <v>3.11.1.9.3</v>
      </c>
      <c r="C88" t="str">
        <f t="shared" si="10"/>
        <v>Berubah</v>
      </c>
      <c r="D88" t="str">
        <f t="shared" si="11"/>
        <v>1.3.3.01.01.09.003</v>
      </c>
      <c r="E88" s="12" t="s">
        <v>694</v>
      </c>
      <c r="F88" s="4">
        <v>1</v>
      </c>
      <c r="G88" s="4">
        <v>3</v>
      </c>
      <c r="H88" s="4">
        <v>3</v>
      </c>
      <c r="I88" s="5" t="s">
        <v>10</v>
      </c>
      <c r="J88" s="5" t="s">
        <v>10</v>
      </c>
      <c r="K88" s="5" t="s">
        <v>101</v>
      </c>
      <c r="L88" s="5" t="s">
        <v>18</v>
      </c>
      <c r="M88" s="6" t="s">
        <v>105</v>
      </c>
      <c r="N88" s="6" t="str">
        <f t="shared" si="6"/>
        <v>Bangunan Gedung Pertemuan Darurat</v>
      </c>
      <c r="O88" t="b">
        <f t="shared" si="7"/>
        <v>1</v>
      </c>
      <c r="Q88" s="12" t="s">
        <v>694</v>
      </c>
      <c r="R88" s="27">
        <v>3</v>
      </c>
      <c r="S88" s="28">
        <v>11</v>
      </c>
      <c r="T88" s="28">
        <v>1</v>
      </c>
      <c r="U88" s="28">
        <v>9</v>
      </c>
      <c r="V88" s="28">
        <v>3</v>
      </c>
      <c r="W88" s="11" t="s">
        <v>105</v>
      </c>
      <c r="X88" t="str">
        <f t="shared" si="8"/>
        <v>Bangunan Gedung Pertemuan Darurat</v>
      </c>
      <c r="Y88" s="13" t="s">
        <v>413</v>
      </c>
      <c r="Z88" s="13">
        <v>56</v>
      </c>
    </row>
    <row r="89" spans="1:26" ht="26.25" customHeight="1" x14ac:dyDescent="0.25">
      <c r="A89" t="s">
        <v>1181</v>
      </c>
      <c r="B89" t="str">
        <f t="shared" si="9"/>
        <v>3.11.1.9.7</v>
      </c>
      <c r="C89" t="str">
        <f t="shared" si="10"/>
        <v>Berubah</v>
      </c>
      <c r="D89" t="str">
        <f t="shared" si="11"/>
        <v>1.3.3.01.01.09.004</v>
      </c>
      <c r="E89" s="12" t="s">
        <v>695</v>
      </c>
      <c r="F89" s="4">
        <v>1</v>
      </c>
      <c r="G89" s="4">
        <v>3</v>
      </c>
      <c r="H89" s="4">
        <v>3</v>
      </c>
      <c r="I89" s="5" t="s">
        <v>10</v>
      </c>
      <c r="J89" s="5" t="s">
        <v>10</v>
      </c>
      <c r="K89" s="5" t="s">
        <v>101</v>
      </c>
      <c r="L89" s="5" t="s">
        <v>20</v>
      </c>
      <c r="M89" s="6" t="s">
        <v>23</v>
      </c>
      <c r="N89" s="6" t="str">
        <f t="shared" si="6"/>
        <v>Dst….</v>
      </c>
      <c r="O89" t="b">
        <f t="shared" si="7"/>
        <v>0</v>
      </c>
      <c r="Q89" s="12" t="s">
        <v>695</v>
      </c>
      <c r="R89" s="27">
        <v>3</v>
      </c>
      <c r="S89" s="28">
        <v>11</v>
      </c>
      <c r="T89" s="28">
        <v>1</v>
      </c>
      <c r="U89" s="28">
        <v>9</v>
      </c>
      <c r="V89" s="28">
        <v>7</v>
      </c>
      <c r="W89" s="11" t="s">
        <v>415</v>
      </c>
      <c r="X89" t="str">
        <f t="shared" si="8"/>
        <v>Lain-lain</v>
      </c>
      <c r="Y89" s="13" t="s">
        <v>413</v>
      </c>
      <c r="Z89" s="13">
        <v>60</v>
      </c>
    </row>
    <row r="90" spans="1:26" ht="26.25" customHeight="1" x14ac:dyDescent="0.25">
      <c r="A90" t="s">
        <v>1182</v>
      </c>
      <c r="B90" t="str">
        <f t="shared" si="9"/>
        <v>3.11.1.9.4</v>
      </c>
      <c r="C90" t="str">
        <f t="shared" si="10"/>
        <v>Berubah</v>
      </c>
      <c r="D90" t="str">
        <f t="shared" si="11"/>
        <v>1.3.3.01.01.09.005</v>
      </c>
      <c r="E90" s="12" t="s">
        <v>696</v>
      </c>
      <c r="F90" s="4">
        <v>1</v>
      </c>
      <c r="G90" s="4">
        <v>3</v>
      </c>
      <c r="H90" s="4">
        <v>3</v>
      </c>
      <c r="I90" s="5" t="s">
        <v>10</v>
      </c>
      <c r="J90" s="5" t="s">
        <v>10</v>
      </c>
      <c r="K90" s="5" t="s">
        <v>101</v>
      </c>
      <c r="L90" s="5" t="s">
        <v>22</v>
      </c>
      <c r="M90" s="11" t="s">
        <v>451</v>
      </c>
      <c r="N90" s="19" t="str">
        <f t="shared" si="6"/>
        <v>Bangunan Gedung Hiburan/Kesenian Permanen</v>
      </c>
      <c r="O90" t="b">
        <f t="shared" si="7"/>
        <v>1</v>
      </c>
      <c r="Q90" s="12" t="s">
        <v>696</v>
      </c>
      <c r="R90" s="27">
        <v>3</v>
      </c>
      <c r="S90" s="28">
        <v>11</v>
      </c>
      <c r="T90" s="28">
        <v>1</v>
      </c>
      <c r="U90" s="28">
        <v>9</v>
      </c>
      <c r="V90" s="28">
        <v>4</v>
      </c>
      <c r="W90" s="11" t="s">
        <v>451</v>
      </c>
      <c r="X90" t="str">
        <f t="shared" si="8"/>
        <v>Bangunan Gedung Hiburan/Kesenian Permanen</v>
      </c>
      <c r="Y90" s="13" t="s">
        <v>413</v>
      </c>
      <c r="Z90" s="13">
        <v>57</v>
      </c>
    </row>
    <row r="91" spans="1:26" ht="26.25" customHeight="1" x14ac:dyDescent="0.25">
      <c r="A91" t="s">
        <v>1183</v>
      </c>
      <c r="B91" t="str">
        <f t="shared" si="9"/>
        <v>3.11.1.9.5</v>
      </c>
      <c r="C91" t="str">
        <f t="shared" si="10"/>
        <v>Berubah</v>
      </c>
      <c r="D91" t="str">
        <f t="shared" si="11"/>
        <v>1.3.3.01.01.09.006</v>
      </c>
      <c r="E91" s="12" t="s">
        <v>697</v>
      </c>
      <c r="F91" s="4">
        <v>1</v>
      </c>
      <c r="G91" s="4">
        <v>3</v>
      </c>
      <c r="H91" s="4">
        <v>3</v>
      </c>
      <c r="I91" s="5" t="s">
        <v>10</v>
      </c>
      <c r="J91" s="5" t="s">
        <v>10</v>
      </c>
      <c r="K91" s="5" t="s">
        <v>101</v>
      </c>
      <c r="L91" s="5" t="s">
        <v>31</v>
      </c>
      <c r="M91" s="11" t="s">
        <v>452</v>
      </c>
      <c r="N91" s="19" t="str">
        <f t="shared" si="6"/>
        <v>Bangunan Gedung Hiburan/Kesenian Semi Permanen</v>
      </c>
      <c r="O91" t="b">
        <f t="shared" si="7"/>
        <v>1</v>
      </c>
      <c r="Q91" s="12" t="s">
        <v>697</v>
      </c>
      <c r="R91" s="27">
        <v>3</v>
      </c>
      <c r="S91" s="28">
        <v>11</v>
      </c>
      <c r="T91" s="28">
        <v>1</v>
      </c>
      <c r="U91" s="28">
        <v>9</v>
      </c>
      <c r="V91" s="28">
        <v>5</v>
      </c>
      <c r="W91" s="11" t="s">
        <v>452</v>
      </c>
      <c r="X91" t="str">
        <f t="shared" si="8"/>
        <v>Bangunan Gedung Hiburan/Kesenian Semi Permanen</v>
      </c>
      <c r="Y91" s="13" t="s">
        <v>413</v>
      </c>
      <c r="Z91" s="13">
        <v>58</v>
      </c>
    </row>
    <row r="92" spans="1:26" ht="26.25" customHeight="1" x14ac:dyDescent="0.25">
      <c r="A92" t="s">
        <v>1184</v>
      </c>
      <c r="B92" t="str">
        <f t="shared" si="9"/>
        <v>3.11.1.9.6</v>
      </c>
      <c r="C92" t="str">
        <f t="shared" si="10"/>
        <v>Berubah</v>
      </c>
      <c r="D92" t="str">
        <f t="shared" si="11"/>
        <v>1.3.3.01.01.09.007</v>
      </c>
      <c r="E92" s="12" t="s">
        <v>698</v>
      </c>
      <c r="F92" s="4">
        <v>1</v>
      </c>
      <c r="G92" s="4">
        <v>3</v>
      </c>
      <c r="H92" s="4">
        <v>3</v>
      </c>
      <c r="I92" s="5" t="s">
        <v>10</v>
      </c>
      <c r="J92" s="5" t="s">
        <v>10</v>
      </c>
      <c r="K92" s="5" t="s">
        <v>101</v>
      </c>
      <c r="L92" s="5" t="s">
        <v>33</v>
      </c>
      <c r="M92" s="11" t="s">
        <v>453</v>
      </c>
      <c r="N92" s="6" t="s">
        <v>106</v>
      </c>
      <c r="O92" t="b">
        <f>M92=W93</f>
        <v>0</v>
      </c>
      <c r="Q92" s="12" t="s">
        <v>698</v>
      </c>
      <c r="R92" s="27">
        <v>3</v>
      </c>
      <c r="S92" s="28">
        <v>11</v>
      </c>
      <c r="T92" s="28">
        <v>1</v>
      </c>
      <c r="U92" s="28">
        <v>9</v>
      </c>
      <c r="V92" s="28">
        <v>6</v>
      </c>
      <c r="W92" s="11" t="s">
        <v>453</v>
      </c>
      <c r="X92" s="11"/>
      <c r="Y92" s="13" t="s">
        <v>413</v>
      </c>
      <c r="Z92" s="13">
        <v>59</v>
      </c>
    </row>
    <row r="93" spans="1:26" ht="26.25" customHeight="1" x14ac:dyDescent="0.25">
      <c r="A93" t="s">
        <v>1129</v>
      </c>
      <c r="B93" t="str">
        <f t="shared" si="9"/>
        <v>....</v>
      </c>
      <c r="C93" t="str">
        <f t="shared" si="10"/>
        <v>Bertambah</v>
      </c>
      <c r="D93" t="str">
        <f t="shared" si="11"/>
        <v>......</v>
      </c>
      <c r="E93" s="12" t="s">
        <v>699</v>
      </c>
      <c r="F93" s="4"/>
      <c r="G93" s="4"/>
      <c r="H93" s="4"/>
      <c r="I93" s="5"/>
      <c r="J93" s="5"/>
      <c r="K93" s="5"/>
      <c r="L93" s="5"/>
      <c r="M93" s="6"/>
      <c r="N93" s="6" t="str">
        <f t="shared" ref="N93:N156" si="12">TRIM(M93)</f>
        <v/>
      </c>
      <c r="O93" t="b">
        <f t="shared" ref="O93:O124" si="13">M93=W93</f>
        <v>1</v>
      </c>
      <c r="Q93" s="12" t="s">
        <v>699</v>
      </c>
      <c r="R93" s="29"/>
      <c r="S93" s="29"/>
      <c r="T93" s="29"/>
      <c r="U93" s="29"/>
      <c r="V93" s="29"/>
      <c r="W93" s="10"/>
      <c r="X93" t="str">
        <f t="shared" ref="X93:X156" si="14">TRIM(W93)</f>
        <v/>
      </c>
      <c r="Y93" s="10"/>
      <c r="Z93" s="10"/>
    </row>
    <row r="94" spans="1:26" ht="26.25" customHeight="1" x14ac:dyDescent="0.25">
      <c r="A94" t="s">
        <v>1185</v>
      </c>
      <c r="B94" t="str">
        <f t="shared" si="9"/>
        <v>3.11.1.10.*</v>
      </c>
      <c r="C94" t="str">
        <f t="shared" si="10"/>
        <v>Berubah</v>
      </c>
      <c r="D94" t="str">
        <f t="shared" si="11"/>
        <v>1.3.3.01.01.10.</v>
      </c>
      <c r="E94" s="12" t="s">
        <v>700</v>
      </c>
      <c r="F94" s="4">
        <v>1</v>
      </c>
      <c r="G94" s="4">
        <v>3</v>
      </c>
      <c r="H94" s="4">
        <v>3</v>
      </c>
      <c r="I94" s="5" t="s">
        <v>10</v>
      </c>
      <c r="J94" s="5" t="s">
        <v>10</v>
      </c>
      <c r="K94" s="4">
        <v>10</v>
      </c>
      <c r="L94" s="5"/>
      <c r="M94" s="6" t="s">
        <v>106</v>
      </c>
      <c r="N94" s="6" t="str">
        <f t="shared" si="12"/>
        <v>BANGUNAN GEDUNG TEMPAT PENDIDIKAN</v>
      </c>
      <c r="O94" t="b">
        <f t="shared" si="13"/>
        <v>1</v>
      </c>
      <c r="Q94" s="12" t="s">
        <v>700</v>
      </c>
      <c r="R94" s="27">
        <v>3</v>
      </c>
      <c r="S94" s="28">
        <v>11</v>
      </c>
      <c r="T94" s="28">
        <v>1</v>
      </c>
      <c r="U94" s="28">
        <v>10</v>
      </c>
      <c r="V94" s="28" t="s">
        <v>411</v>
      </c>
      <c r="W94" s="11" t="s">
        <v>454</v>
      </c>
      <c r="X94" t="str">
        <f t="shared" si="14"/>
        <v>Bangunan Gedung Tempat Pendidikan</v>
      </c>
      <c r="Y94" s="13" t="s">
        <v>413</v>
      </c>
      <c r="Z94" s="13">
        <v>61</v>
      </c>
    </row>
    <row r="95" spans="1:26" ht="26.25" customHeight="1" x14ac:dyDescent="0.25">
      <c r="A95" t="s">
        <v>1186</v>
      </c>
      <c r="B95" t="str">
        <f t="shared" si="9"/>
        <v>3.11.1.10.1</v>
      </c>
      <c r="C95" t="str">
        <f t="shared" si="10"/>
        <v>Berubah</v>
      </c>
      <c r="D95" t="str">
        <f t="shared" si="11"/>
        <v>1.3.3.01.01.10.001</v>
      </c>
      <c r="E95" s="12" t="s">
        <v>701</v>
      </c>
      <c r="F95" s="4">
        <v>1</v>
      </c>
      <c r="G95" s="4">
        <v>3</v>
      </c>
      <c r="H95" s="4">
        <v>3</v>
      </c>
      <c r="I95" s="5" t="s">
        <v>10</v>
      </c>
      <c r="J95" s="5" t="s">
        <v>10</v>
      </c>
      <c r="K95" s="4">
        <v>10</v>
      </c>
      <c r="L95" s="5" t="s">
        <v>14</v>
      </c>
      <c r="M95" s="6" t="s">
        <v>107</v>
      </c>
      <c r="N95" s="6" t="str">
        <f t="shared" si="12"/>
        <v>Bangunan Gedung Pendidikan Permanen</v>
      </c>
      <c r="O95" t="b">
        <f t="shared" si="13"/>
        <v>1</v>
      </c>
      <c r="Q95" s="12" t="s">
        <v>701</v>
      </c>
      <c r="R95" s="27">
        <v>3</v>
      </c>
      <c r="S95" s="28">
        <v>11</v>
      </c>
      <c r="T95" s="28">
        <v>1</v>
      </c>
      <c r="U95" s="28">
        <v>10</v>
      </c>
      <c r="V95" s="28">
        <v>1</v>
      </c>
      <c r="W95" s="11" t="s">
        <v>107</v>
      </c>
      <c r="X95" t="str">
        <f t="shared" si="14"/>
        <v>Bangunan Gedung Pendidikan Permanen</v>
      </c>
      <c r="Y95" s="13" t="s">
        <v>413</v>
      </c>
      <c r="Z95" s="13">
        <v>62</v>
      </c>
    </row>
    <row r="96" spans="1:26" ht="26.25" customHeight="1" x14ac:dyDescent="0.25">
      <c r="A96" t="s">
        <v>1187</v>
      </c>
      <c r="B96" t="str">
        <f t="shared" si="9"/>
        <v>3.11.1.10.2</v>
      </c>
      <c r="C96" t="str">
        <f t="shared" si="10"/>
        <v>Berubah</v>
      </c>
      <c r="D96" t="str">
        <f t="shared" si="11"/>
        <v>1.3.3.01.01.10.002</v>
      </c>
      <c r="E96" s="12" t="s">
        <v>702</v>
      </c>
      <c r="F96" s="4">
        <v>1</v>
      </c>
      <c r="G96" s="4">
        <v>3</v>
      </c>
      <c r="H96" s="4">
        <v>3</v>
      </c>
      <c r="I96" s="5" t="s">
        <v>10</v>
      </c>
      <c r="J96" s="5" t="s">
        <v>10</v>
      </c>
      <c r="K96" s="4">
        <v>10</v>
      </c>
      <c r="L96" s="5" t="s">
        <v>16</v>
      </c>
      <c r="M96" s="6" t="s">
        <v>108</v>
      </c>
      <c r="N96" s="6" t="str">
        <f t="shared" si="12"/>
        <v>Bangunan Gedung Pendidikan Semi Permanen</v>
      </c>
      <c r="O96" t="b">
        <f t="shared" si="13"/>
        <v>0</v>
      </c>
      <c r="Q96" s="12" t="s">
        <v>702</v>
      </c>
      <c r="R96" s="27">
        <v>3</v>
      </c>
      <c r="S96" s="28">
        <v>11</v>
      </c>
      <c r="T96" s="28">
        <v>1</v>
      </c>
      <c r="U96" s="28">
        <v>10</v>
      </c>
      <c r="V96" s="28">
        <v>2</v>
      </c>
      <c r="W96" s="11" t="s">
        <v>455</v>
      </c>
      <c r="X96" t="str">
        <f t="shared" si="14"/>
        <v>Bangunan Gedung Pendidkan Semi Permanen</v>
      </c>
      <c r="Y96" s="13" t="s">
        <v>413</v>
      </c>
      <c r="Z96" s="13">
        <v>63</v>
      </c>
    </row>
    <row r="97" spans="1:26" ht="26.25" customHeight="1" x14ac:dyDescent="0.25">
      <c r="A97" t="s">
        <v>1188</v>
      </c>
      <c r="B97" t="str">
        <f t="shared" si="9"/>
        <v>3.11.1.10.3</v>
      </c>
      <c r="C97" t="str">
        <f t="shared" si="10"/>
        <v>Berubah</v>
      </c>
      <c r="D97" t="str">
        <f t="shared" si="11"/>
        <v>1.3.3.01.01.10.003</v>
      </c>
      <c r="E97" s="12" t="s">
        <v>703</v>
      </c>
      <c r="F97" s="4">
        <v>1</v>
      </c>
      <c r="G97" s="4">
        <v>3</v>
      </c>
      <c r="H97" s="4">
        <v>3</v>
      </c>
      <c r="I97" s="5" t="s">
        <v>10</v>
      </c>
      <c r="J97" s="5" t="s">
        <v>10</v>
      </c>
      <c r="K97" s="4">
        <v>10</v>
      </c>
      <c r="L97" s="5" t="s">
        <v>18</v>
      </c>
      <c r="M97" s="6" t="s">
        <v>109</v>
      </c>
      <c r="N97" s="6" t="str">
        <f t="shared" si="12"/>
        <v>Bangunan Gedung Pendidikan Darurat</v>
      </c>
      <c r="O97" t="b">
        <f t="shared" si="13"/>
        <v>1</v>
      </c>
      <c r="Q97" s="12" t="s">
        <v>703</v>
      </c>
      <c r="R97" s="27">
        <v>3</v>
      </c>
      <c r="S97" s="28">
        <v>11</v>
      </c>
      <c r="T97" s="28">
        <v>1</v>
      </c>
      <c r="U97" s="28">
        <v>10</v>
      </c>
      <c r="V97" s="28">
        <v>3</v>
      </c>
      <c r="W97" s="11" t="s">
        <v>109</v>
      </c>
      <c r="X97" t="str">
        <f t="shared" si="14"/>
        <v>Bangunan Gedung Pendidikan Darurat</v>
      </c>
      <c r="Y97" s="13" t="s">
        <v>413</v>
      </c>
      <c r="Z97" s="13">
        <v>64</v>
      </c>
    </row>
    <row r="98" spans="1:26" ht="26.25" customHeight="1" x14ac:dyDescent="0.25">
      <c r="A98" t="s">
        <v>1129</v>
      </c>
      <c r="B98" t="str">
        <f t="shared" si="9"/>
        <v>....</v>
      </c>
      <c r="C98" t="str">
        <f t="shared" si="10"/>
        <v>Bertambah</v>
      </c>
      <c r="D98" t="str">
        <f t="shared" si="11"/>
        <v>1.3.3.01.01.10.004</v>
      </c>
      <c r="E98" s="12" t="s">
        <v>704</v>
      </c>
      <c r="F98" s="17">
        <v>1</v>
      </c>
      <c r="G98" s="17">
        <v>3</v>
      </c>
      <c r="H98" s="17">
        <v>3</v>
      </c>
      <c r="I98" s="18" t="s">
        <v>10</v>
      </c>
      <c r="J98" s="18" t="s">
        <v>10</v>
      </c>
      <c r="K98" s="17">
        <v>10</v>
      </c>
      <c r="L98" s="18" t="s">
        <v>20</v>
      </c>
      <c r="M98" s="19" t="s">
        <v>110</v>
      </c>
      <c r="N98" s="19" t="str">
        <f t="shared" si="12"/>
        <v>Bangunan Gedung Pendidikan dan Latihan</v>
      </c>
      <c r="O98" t="b">
        <f t="shared" si="13"/>
        <v>0</v>
      </c>
      <c r="Q98" s="12" t="s">
        <v>704</v>
      </c>
      <c r="R98" s="29"/>
      <c r="S98" s="29"/>
      <c r="T98" s="29"/>
      <c r="U98" s="29"/>
      <c r="V98" s="29"/>
      <c r="W98" s="10"/>
      <c r="X98" t="str">
        <f t="shared" si="14"/>
        <v/>
      </c>
      <c r="Y98" s="10"/>
      <c r="Z98" s="10"/>
    </row>
    <row r="99" spans="1:26" ht="26.25" customHeight="1" x14ac:dyDescent="0.25">
      <c r="A99" t="s">
        <v>1189</v>
      </c>
      <c r="B99" t="str">
        <f t="shared" si="9"/>
        <v>3.11.1.10.4</v>
      </c>
      <c r="C99" t="str">
        <f t="shared" si="10"/>
        <v>Berubah</v>
      </c>
      <c r="D99" t="str">
        <f t="shared" si="11"/>
        <v>1.3.3.01.01.10.005</v>
      </c>
      <c r="E99" s="12" t="s">
        <v>705</v>
      </c>
      <c r="F99" s="4">
        <v>1</v>
      </c>
      <c r="G99" s="4">
        <v>3</v>
      </c>
      <c r="H99" s="4">
        <v>3</v>
      </c>
      <c r="I99" s="5" t="s">
        <v>10</v>
      </c>
      <c r="J99" s="5" t="s">
        <v>10</v>
      </c>
      <c r="K99" s="4">
        <v>10</v>
      </c>
      <c r="L99" s="5" t="s">
        <v>22</v>
      </c>
      <c r="M99" s="6" t="s">
        <v>23</v>
      </c>
      <c r="N99" s="6" t="str">
        <f t="shared" si="12"/>
        <v>Dst….</v>
      </c>
      <c r="O99" t="b">
        <f t="shared" si="13"/>
        <v>0</v>
      </c>
      <c r="Q99" s="12" t="s">
        <v>705</v>
      </c>
      <c r="R99" s="27">
        <v>3</v>
      </c>
      <c r="S99" s="28">
        <v>11</v>
      </c>
      <c r="T99" s="28">
        <v>1</v>
      </c>
      <c r="U99" s="28">
        <v>10</v>
      </c>
      <c r="V99" s="28">
        <v>4</v>
      </c>
      <c r="W99" s="11" t="s">
        <v>415</v>
      </c>
      <c r="X99" t="str">
        <f t="shared" si="14"/>
        <v>Lain-lain</v>
      </c>
      <c r="Y99" s="13" t="s">
        <v>413</v>
      </c>
      <c r="Z99" s="13">
        <v>65</v>
      </c>
    </row>
    <row r="100" spans="1:26" ht="26.25" customHeight="1" x14ac:dyDescent="0.25">
      <c r="A100" t="s">
        <v>1129</v>
      </c>
      <c r="B100" t="str">
        <f t="shared" si="9"/>
        <v>....</v>
      </c>
      <c r="C100" t="str">
        <f t="shared" si="10"/>
        <v>Bertambah</v>
      </c>
      <c r="D100" t="str">
        <f t="shared" si="11"/>
        <v>......</v>
      </c>
      <c r="E100" s="12" t="s">
        <v>706</v>
      </c>
      <c r="F100" s="4"/>
      <c r="G100" s="4"/>
      <c r="H100" s="4"/>
      <c r="I100" s="5"/>
      <c r="J100" s="5"/>
      <c r="K100" s="4"/>
      <c r="L100" s="5"/>
      <c r="M100" s="6"/>
      <c r="N100" s="6" t="str">
        <f t="shared" si="12"/>
        <v/>
      </c>
      <c r="O100" t="b">
        <f t="shared" si="13"/>
        <v>1</v>
      </c>
      <c r="Q100" s="12" t="s">
        <v>706</v>
      </c>
      <c r="R100" s="27"/>
      <c r="S100" s="28"/>
      <c r="T100" s="28"/>
      <c r="U100" s="28"/>
      <c r="V100" s="28"/>
      <c r="W100" s="11"/>
      <c r="X100" t="str">
        <f t="shared" si="14"/>
        <v/>
      </c>
      <c r="Y100" s="13"/>
      <c r="Z100" s="13"/>
    </row>
    <row r="101" spans="1:26" ht="26.25" customHeight="1" x14ac:dyDescent="0.25">
      <c r="A101" t="s">
        <v>1190</v>
      </c>
      <c r="B101" t="str">
        <f t="shared" si="9"/>
        <v>3.11.1.11.*</v>
      </c>
      <c r="C101" t="str">
        <f t="shared" si="10"/>
        <v>Berubah</v>
      </c>
      <c r="D101" t="str">
        <f t="shared" si="11"/>
        <v>1.3.3.01.01.11.</v>
      </c>
      <c r="E101" s="12" t="s">
        <v>707</v>
      </c>
      <c r="F101" s="4">
        <v>1</v>
      </c>
      <c r="G101" s="4">
        <v>3</v>
      </c>
      <c r="H101" s="4">
        <v>3</v>
      </c>
      <c r="I101" s="5" t="s">
        <v>10</v>
      </c>
      <c r="J101" s="5" t="s">
        <v>10</v>
      </c>
      <c r="K101" s="4">
        <v>11</v>
      </c>
      <c r="L101" s="5"/>
      <c r="M101" s="6" t="s">
        <v>111</v>
      </c>
      <c r="N101" s="6" t="str">
        <f t="shared" si="12"/>
        <v>BANGUNAN GEDUNG TEMPAT OLAH RAGA</v>
      </c>
      <c r="O101" t="b">
        <f t="shared" si="13"/>
        <v>1</v>
      </c>
      <c r="Q101" s="12" t="s">
        <v>707</v>
      </c>
      <c r="R101" s="27">
        <v>3</v>
      </c>
      <c r="S101" s="28">
        <v>11</v>
      </c>
      <c r="T101" s="28">
        <v>1</v>
      </c>
      <c r="U101" s="28">
        <v>11</v>
      </c>
      <c r="V101" s="28" t="s">
        <v>411</v>
      </c>
      <c r="W101" s="11" t="s">
        <v>456</v>
      </c>
      <c r="X101" t="str">
        <f t="shared" si="14"/>
        <v>Bangunan Gedung Tempat Olah Raga</v>
      </c>
      <c r="Y101" s="13" t="s">
        <v>413</v>
      </c>
      <c r="Z101" s="13">
        <v>66</v>
      </c>
    </row>
    <row r="102" spans="1:26" ht="26.25" customHeight="1" x14ac:dyDescent="0.25">
      <c r="A102" t="s">
        <v>1191</v>
      </c>
      <c r="B102" t="str">
        <f t="shared" si="9"/>
        <v>3.11.1.11.1</v>
      </c>
      <c r="C102" t="str">
        <f t="shared" si="10"/>
        <v>Berubah</v>
      </c>
      <c r="D102" t="str">
        <f t="shared" si="11"/>
        <v>1.3.3.01.01.11.001</v>
      </c>
      <c r="E102" s="12" t="s">
        <v>708</v>
      </c>
      <c r="F102" s="4">
        <v>1</v>
      </c>
      <c r="G102" s="4">
        <v>3</v>
      </c>
      <c r="H102" s="4">
        <v>3</v>
      </c>
      <c r="I102" s="5" t="s">
        <v>10</v>
      </c>
      <c r="J102" s="5" t="s">
        <v>10</v>
      </c>
      <c r="K102" s="4">
        <v>11</v>
      </c>
      <c r="L102" s="5" t="s">
        <v>14</v>
      </c>
      <c r="M102" s="6" t="s">
        <v>112</v>
      </c>
      <c r="N102" s="6" t="str">
        <f t="shared" si="12"/>
        <v>Gedung Olah Raga Tetutup Permanen</v>
      </c>
      <c r="O102" t="b">
        <f t="shared" si="13"/>
        <v>0</v>
      </c>
      <c r="Q102" s="12" t="s">
        <v>708</v>
      </c>
      <c r="R102" s="27">
        <v>3</v>
      </c>
      <c r="S102" s="28">
        <v>11</v>
      </c>
      <c r="T102" s="28">
        <v>1</v>
      </c>
      <c r="U102" s="28">
        <v>11</v>
      </c>
      <c r="V102" s="28">
        <v>1</v>
      </c>
      <c r="W102" s="11" t="s">
        <v>457</v>
      </c>
      <c r="X102" t="str">
        <f t="shared" si="14"/>
        <v>Bangunan Olah Raga Terutup Permanen</v>
      </c>
      <c r="Y102" s="13" t="s">
        <v>413</v>
      </c>
      <c r="Z102" s="13">
        <v>67</v>
      </c>
    </row>
    <row r="103" spans="1:26" ht="26.25" customHeight="1" x14ac:dyDescent="0.25">
      <c r="A103" t="s">
        <v>1192</v>
      </c>
      <c r="B103" t="str">
        <f t="shared" si="9"/>
        <v>3.11.1.11.2</v>
      </c>
      <c r="C103" t="str">
        <f t="shared" si="10"/>
        <v>Berubah</v>
      </c>
      <c r="D103" t="str">
        <f t="shared" si="11"/>
        <v>1.3.3.01.01.11.002</v>
      </c>
      <c r="E103" s="12" t="s">
        <v>709</v>
      </c>
      <c r="F103" s="4">
        <v>1</v>
      </c>
      <c r="G103" s="4">
        <v>3</v>
      </c>
      <c r="H103" s="4">
        <v>3</v>
      </c>
      <c r="I103" s="5" t="s">
        <v>10</v>
      </c>
      <c r="J103" s="5" t="s">
        <v>10</v>
      </c>
      <c r="K103" s="4">
        <v>11</v>
      </c>
      <c r="L103" s="5" t="s">
        <v>16</v>
      </c>
      <c r="M103" s="6" t="s">
        <v>113</v>
      </c>
      <c r="N103" s="6" t="str">
        <f t="shared" si="12"/>
        <v>Gedung Olah Raga Tertutup Semi Permanen</v>
      </c>
      <c r="O103" t="b">
        <f t="shared" si="13"/>
        <v>0</v>
      </c>
      <c r="Q103" s="12" t="s">
        <v>709</v>
      </c>
      <c r="R103" s="27">
        <v>3</v>
      </c>
      <c r="S103" s="28">
        <v>11</v>
      </c>
      <c r="T103" s="28">
        <v>1</v>
      </c>
      <c r="U103" s="28">
        <v>11</v>
      </c>
      <c r="V103" s="28">
        <v>2</v>
      </c>
      <c r="W103" s="11" t="s">
        <v>458</v>
      </c>
      <c r="X103" t="str">
        <f t="shared" si="14"/>
        <v>Bangunan Olah Raga Tertutup Semi Permanen</v>
      </c>
      <c r="Y103" s="13" t="s">
        <v>413</v>
      </c>
      <c r="Z103" s="13">
        <v>68</v>
      </c>
    </row>
    <row r="104" spans="1:26" ht="26.25" customHeight="1" x14ac:dyDescent="0.25">
      <c r="A104" t="s">
        <v>1193</v>
      </c>
      <c r="B104" t="str">
        <f t="shared" si="9"/>
        <v>3.11.1.11.3</v>
      </c>
      <c r="C104" t="str">
        <f t="shared" si="10"/>
        <v>Berubah</v>
      </c>
      <c r="D104" t="str">
        <f t="shared" si="11"/>
        <v>1.3.3.01.01.11.003</v>
      </c>
      <c r="E104" s="12" t="s">
        <v>710</v>
      </c>
      <c r="F104" s="4">
        <v>1</v>
      </c>
      <c r="G104" s="4">
        <v>3</v>
      </c>
      <c r="H104" s="4">
        <v>3</v>
      </c>
      <c r="I104" s="5" t="s">
        <v>10</v>
      </c>
      <c r="J104" s="5" t="s">
        <v>10</v>
      </c>
      <c r="K104" s="4">
        <v>11</v>
      </c>
      <c r="L104" s="5" t="s">
        <v>18</v>
      </c>
      <c r="M104" s="6" t="s">
        <v>114</v>
      </c>
      <c r="N104" s="6" t="str">
        <f t="shared" si="12"/>
        <v>Gedung Olah Raga Tertutup Darurat</v>
      </c>
      <c r="O104" t="b">
        <f t="shared" si="13"/>
        <v>0</v>
      </c>
      <c r="Q104" s="12" t="s">
        <v>710</v>
      </c>
      <c r="R104" s="27">
        <v>3</v>
      </c>
      <c r="S104" s="28">
        <v>11</v>
      </c>
      <c r="T104" s="28">
        <v>1</v>
      </c>
      <c r="U104" s="28">
        <v>11</v>
      </c>
      <c r="V104" s="28">
        <v>3</v>
      </c>
      <c r="W104" s="11" t="s">
        <v>459</v>
      </c>
      <c r="X104" t="str">
        <f t="shared" si="14"/>
        <v>Bangunan Olah Raga Tertutup Darurat</v>
      </c>
      <c r="Y104" s="13" t="s">
        <v>413</v>
      </c>
      <c r="Z104" s="13">
        <v>69</v>
      </c>
    </row>
    <row r="105" spans="1:26" ht="26.25" customHeight="1" x14ac:dyDescent="0.25">
      <c r="A105" t="s">
        <v>1194</v>
      </c>
      <c r="B105" t="str">
        <f t="shared" si="9"/>
        <v>3.11.1.11.4</v>
      </c>
      <c r="C105" t="str">
        <f t="shared" si="10"/>
        <v>Berubah</v>
      </c>
      <c r="D105" t="str">
        <f t="shared" si="11"/>
        <v>1.3.3.01.01.11.004</v>
      </c>
      <c r="E105" s="12" t="s">
        <v>711</v>
      </c>
      <c r="F105" s="4">
        <v>1</v>
      </c>
      <c r="G105" s="4">
        <v>3</v>
      </c>
      <c r="H105" s="4">
        <v>3</v>
      </c>
      <c r="I105" s="5" t="s">
        <v>10</v>
      </c>
      <c r="J105" s="5" t="s">
        <v>10</v>
      </c>
      <c r="K105" s="4">
        <v>11</v>
      </c>
      <c r="L105" s="5" t="s">
        <v>20</v>
      </c>
      <c r="M105" s="6" t="s">
        <v>115</v>
      </c>
      <c r="N105" s="6" t="str">
        <f t="shared" si="12"/>
        <v>Bangunan Olah Raga Terbuka Permanen</v>
      </c>
      <c r="O105" t="b">
        <f t="shared" si="13"/>
        <v>0</v>
      </c>
      <c r="Q105" s="12" t="s">
        <v>711</v>
      </c>
      <c r="R105" s="27">
        <v>3</v>
      </c>
      <c r="S105" s="28">
        <v>11</v>
      </c>
      <c r="T105" s="28">
        <v>1</v>
      </c>
      <c r="U105" s="28">
        <v>11</v>
      </c>
      <c r="V105" s="28">
        <v>4</v>
      </c>
      <c r="W105" s="11" t="s">
        <v>460</v>
      </c>
      <c r="X105" t="str">
        <f t="shared" si="14"/>
        <v>Bangunan Olah Raga Trebuka Permanen</v>
      </c>
      <c r="Y105" s="13" t="s">
        <v>413</v>
      </c>
      <c r="Z105" s="13">
        <v>70</v>
      </c>
    </row>
    <row r="106" spans="1:26" ht="26.25" customHeight="1" x14ac:dyDescent="0.25">
      <c r="A106" t="s">
        <v>1195</v>
      </c>
      <c r="B106" t="str">
        <f t="shared" si="9"/>
        <v>3.11.1.11.5</v>
      </c>
      <c r="C106" t="str">
        <f t="shared" si="10"/>
        <v>Berubah</v>
      </c>
      <c r="D106" t="str">
        <f t="shared" si="11"/>
        <v>1.3.3.01.01.11.005</v>
      </c>
      <c r="E106" s="12" t="s">
        <v>712</v>
      </c>
      <c r="F106" s="4">
        <v>1</v>
      </c>
      <c r="G106" s="4">
        <v>3</v>
      </c>
      <c r="H106" s="4">
        <v>3</v>
      </c>
      <c r="I106" s="5" t="s">
        <v>10</v>
      </c>
      <c r="J106" s="5" t="s">
        <v>10</v>
      </c>
      <c r="K106" s="4">
        <v>11</v>
      </c>
      <c r="L106" s="5" t="s">
        <v>22</v>
      </c>
      <c r="M106" s="6" t="s">
        <v>116</v>
      </c>
      <c r="N106" s="6" t="str">
        <f t="shared" si="12"/>
        <v>Bangunan Olah Raga Terbuka Semi Permanen</v>
      </c>
      <c r="O106" t="b">
        <f t="shared" si="13"/>
        <v>1</v>
      </c>
      <c r="Q106" s="12" t="s">
        <v>712</v>
      </c>
      <c r="R106" s="27">
        <v>3</v>
      </c>
      <c r="S106" s="28">
        <v>11</v>
      </c>
      <c r="T106" s="28">
        <v>1</v>
      </c>
      <c r="U106" s="28">
        <v>11</v>
      </c>
      <c r="V106" s="28">
        <v>5</v>
      </c>
      <c r="W106" s="11" t="s">
        <v>116</v>
      </c>
      <c r="X106" t="str">
        <f t="shared" si="14"/>
        <v>Bangunan Olah Raga Terbuka Semi Permanen</v>
      </c>
      <c r="Y106" s="13" t="s">
        <v>413</v>
      </c>
      <c r="Z106" s="13">
        <v>71</v>
      </c>
    </row>
    <row r="107" spans="1:26" ht="26.25" customHeight="1" x14ac:dyDescent="0.25">
      <c r="A107" t="s">
        <v>1196</v>
      </c>
      <c r="B107" t="str">
        <f t="shared" si="9"/>
        <v>3.11.1.11.6</v>
      </c>
      <c r="C107" t="str">
        <f t="shared" si="10"/>
        <v>Berubah</v>
      </c>
      <c r="D107" t="str">
        <f t="shared" si="11"/>
        <v>1.3.3.01.01.11.006</v>
      </c>
      <c r="E107" s="12" t="s">
        <v>713</v>
      </c>
      <c r="F107" s="4">
        <v>1</v>
      </c>
      <c r="G107" s="4">
        <v>3</v>
      </c>
      <c r="H107" s="4">
        <v>3</v>
      </c>
      <c r="I107" s="5" t="s">
        <v>10</v>
      </c>
      <c r="J107" s="5" t="s">
        <v>10</v>
      </c>
      <c r="K107" s="4">
        <v>11</v>
      </c>
      <c r="L107" s="5" t="s">
        <v>31</v>
      </c>
      <c r="M107" s="6" t="s">
        <v>117</v>
      </c>
      <c r="N107" s="6" t="str">
        <f t="shared" si="12"/>
        <v>Bangunan Olah Raga Terbuka Darurat</v>
      </c>
      <c r="O107" t="b">
        <f t="shared" si="13"/>
        <v>1</v>
      </c>
      <c r="Q107" s="12" t="s">
        <v>713</v>
      </c>
      <c r="R107" s="27">
        <v>3</v>
      </c>
      <c r="S107" s="28">
        <v>11</v>
      </c>
      <c r="T107" s="28">
        <v>1</v>
      </c>
      <c r="U107" s="28">
        <v>11</v>
      </c>
      <c r="V107" s="28">
        <v>6</v>
      </c>
      <c r="W107" s="11" t="s">
        <v>117</v>
      </c>
      <c r="X107" t="str">
        <f t="shared" si="14"/>
        <v>Bangunan Olah Raga Terbuka Darurat</v>
      </c>
      <c r="Y107" s="13" t="s">
        <v>413</v>
      </c>
      <c r="Z107" s="13">
        <v>72</v>
      </c>
    </row>
    <row r="108" spans="1:26" ht="26.25" customHeight="1" x14ac:dyDescent="0.25">
      <c r="A108" t="s">
        <v>1129</v>
      </c>
      <c r="B108" t="str">
        <f t="shared" si="9"/>
        <v>....</v>
      </c>
      <c r="C108" t="str">
        <f t="shared" si="10"/>
        <v>Bertambah</v>
      </c>
      <c r="D108" t="str">
        <f t="shared" si="11"/>
        <v>1.3.3.01.01.11.007</v>
      </c>
      <c r="E108" s="12" t="s">
        <v>714</v>
      </c>
      <c r="F108" s="17">
        <v>1</v>
      </c>
      <c r="G108" s="17">
        <v>3</v>
      </c>
      <c r="H108" s="17">
        <v>3</v>
      </c>
      <c r="I108" s="18" t="s">
        <v>10</v>
      </c>
      <c r="J108" s="18" t="s">
        <v>10</v>
      </c>
      <c r="K108" s="17">
        <v>11</v>
      </c>
      <c r="L108" s="18" t="s">
        <v>33</v>
      </c>
      <c r="M108" s="19" t="s">
        <v>118</v>
      </c>
      <c r="N108" s="19" t="str">
        <f t="shared" si="12"/>
        <v>Bangunan Gedung Olah Raga Kolam Renang</v>
      </c>
      <c r="O108" t="b">
        <f t="shared" si="13"/>
        <v>0</v>
      </c>
      <c r="Q108" s="12" t="s">
        <v>714</v>
      </c>
      <c r="R108" s="29"/>
      <c r="S108" s="29"/>
      <c r="T108" s="29"/>
      <c r="U108" s="29"/>
      <c r="V108" s="29"/>
      <c r="W108" s="10"/>
      <c r="X108" t="str">
        <f t="shared" si="14"/>
        <v/>
      </c>
      <c r="Y108" s="10"/>
      <c r="Z108" s="10"/>
    </row>
    <row r="109" spans="1:26" ht="26.25" customHeight="1" x14ac:dyDescent="0.25">
      <c r="A109" t="s">
        <v>1197</v>
      </c>
      <c r="B109" t="str">
        <f t="shared" si="9"/>
        <v>3.11.1.11.7</v>
      </c>
      <c r="C109" t="str">
        <f t="shared" si="10"/>
        <v>Berubah</v>
      </c>
      <c r="D109" t="str">
        <f t="shared" si="11"/>
        <v>1.3.3.01.01.11.008</v>
      </c>
      <c r="E109" s="12" t="s">
        <v>715</v>
      </c>
      <c r="F109" s="4">
        <v>1</v>
      </c>
      <c r="G109" s="4">
        <v>3</v>
      </c>
      <c r="H109" s="4">
        <v>3</v>
      </c>
      <c r="I109" s="5" t="s">
        <v>10</v>
      </c>
      <c r="J109" s="5" t="s">
        <v>10</v>
      </c>
      <c r="K109" s="4">
        <v>11</v>
      </c>
      <c r="L109" s="5" t="s">
        <v>35</v>
      </c>
      <c r="M109" s="6" t="s">
        <v>23</v>
      </c>
      <c r="N109" s="6" t="str">
        <f t="shared" si="12"/>
        <v>Dst….</v>
      </c>
      <c r="O109" t="b">
        <f t="shared" si="13"/>
        <v>0</v>
      </c>
      <c r="Q109" s="12" t="s">
        <v>715</v>
      </c>
      <c r="R109" s="27">
        <v>3</v>
      </c>
      <c r="S109" s="28">
        <v>11</v>
      </c>
      <c r="T109" s="28">
        <v>1</v>
      </c>
      <c r="U109" s="28">
        <v>11</v>
      </c>
      <c r="V109" s="28">
        <v>7</v>
      </c>
      <c r="W109" s="11" t="s">
        <v>415</v>
      </c>
      <c r="X109" t="str">
        <f t="shared" si="14"/>
        <v>Lain-lain</v>
      </c>
      <c r="Y109" s="13" t="s">
        <v>413</v>
      </c>
      <c r="Z109" s="13">
        <v>73</v>
      </c>
    </row>
    <row r="110" spans="1:26" ht="26.25" customHeight="1" x14ac:dyDescent="0.25">
      <c r="A110" t="s">
        <v>1198</v>
      </c>
      <c r="B110" t="str">
        <f t="shared" si="9"/>
        <v>3.11.1.12.*</v>
      </c>
      <c r="C110" t="str">
        <f t="shared" si="10"/>
        <v>Berubah</v>
      </c>
      <c r="D110" t="str">
        <f t="shared" si="11"/>
        <v>1.3.3.01.01.12.</v>
      </c>
      <c r="E110" s="12" t="s">
        <v>716</v>
      </c>
      <c r="F110" s="4">
        <v>1</v>
      </c>
      <c r="G110" s="4">
        <v>3</v>
      </c>
      <c r="H110" s="4">
        <v>3</v>
      </c>
      <c r="I110" s="5" t="s">
        <v>10</v>
      </c>
      <c r="J110" s="5" t="s">
        <v>10</v>
      </c>
      <c r="K110" s="4">
        <v>12</v>
      </c>
      <c r="L110" s="5"/>
      <c r="M110" s="6" t="s">
        <v>119</v>
      </c>
      <c r="N110" s="6" t="str">
        <f t="shared" si="12"/>
        <v>BANGUNAN GEDUNG PERTOKOAN/KOPERASI/PASAR</v>
      </c>
      <c r="O110" t="b">
        <f t="shared" si="13"/>
        <v>0</v>
      </c>
      <c r="Q110" s="12" t="s">
        <v>716</v>
      </c>
      <c r="R110" s="27">
        <v>3</v>
      </c>
      <c r="S110" s="28">
        <v>11</v>
      </c>
      <c r="T110" s="28">
        <v>1</v>
      </c>
      <c r="U110" s="28">
        <v>12</v>
      </c>
      <c r="V110" s="28" t="s">
        <v>411</v>
      </c>
      <c r="W110" s="11" t="s">
        <v>461</v>
      </c>
      <c r="X110" t="str">
        <f t="shared" si="14"/>
        <v>Bangunan Gedung Pertokoan/Koperasi Pasar</v>
      </c>
      <c r="Y110" s="13" t="s">
        <v>413</v>
      </c>
      <c r="Z110" s="13">
        <v>74</v>
      </c>
    </row>
    <row r="111" spans="1:26" ht="26.25" customHeight="1" x14ac:dyDescent="0.25">
      <c r="A111" t="s">
        <v>1199</v>
      </c>
      <c r="B111" t="str">
        <f t="shared" si="9"/>
        <v>3.11.1.12.1</v>
      </c>
      <c r="C111" t="str">
        <f t="shared" si="10"/>
        <v>Berubah</v>
      </c>
      <c r="D111" t="str">
        <f t="shared" si="11"/>
        <v>1.3.3.01.01.12.001</v>
      </c>
      <c r="E111" s="12" t="s">
        <v>717</v>
      </c>
      <c r="F111" s="4">
        <v>1</v>
      </c>
      <c r="G111" s="4">
        <v>3</v>
      </c>
      <c r="H111" s="4">
        <v>3</v>
      </c>
      <c r="I111" s="5" t="s">
        <v>10</v>
      </c>
      <c r="J111" s="5" t="s">
        <v>10</v>
      </c>
      <c r="K111" s="4">
        <v>12</v>
      </c>
      <c r="L111" s="5" t="s">
        <v>14</v>
      </c>
      <c r="M111" s="6" t="s">
        <v>120</v>
      </c>
      <c r="N111" s="6" t="str">
        <f t="shared" si="12"/>
        <v>Gedung Pertokoan/Koperasi/Pasar Permanen</v>
      </c>
      <c r="O111" t="b">
        <f t="shared" si="13"/>
        <v>0</v>
      </c>
      <c r="Q111" s="12" t="s">
        <v>717</v>
      </c>
      <c r="R111" s="27">
        <v>3</v>
      </c>
      <c r="S111" s="28">
        <v>11</v>
      </c>
      <c r="T111" s="28">
        <v>1</v>
      </c>
      <c r="U111" s="28">
        <v>12</v>
      </c>
      <c r="V111" s="28">
        <v>1</v>
      </c>
      <c r="W111" s="11" t="s">
        <v>462</v>
      </c>
      <c r="X111" t="str">
        <f t="shared" si="14"/>
        <v>Gedung Pertokoan/Koperasi Pasar Permanen</v>
      </c>
      <c r="Y111" s="13" t="s">
        <v>413</v>
      </c>
      <c r="Z111" s="13">
        <v>75</v>
      </c>
    </row>
    <row r="112" spans="1:26" ht="26.25" customHeight="1" x14ac:dyDescent="0.25">
      <c r="A112" t="s">
        <v>1200</v>
      </c>
      <c r="B112" t="str">
        <f t="shared" si="9"/>
        <v>3.11.1.12.2</v>
      </c>
      <c r="C112" t="str">
        <f t="shared" si="10"/>
        <v>Berubah</v>
      </c>
      <c r="D112" t="str">
        <f t="shared" si="11"/>
        <v>1.3.3.01.01.12.002</v>
      </c>
      <c r="E112" s="12" t="s">
        <v>718</v>
      </c>
      <c r="F112" s="4">
        <v>1</v>
      </c>
      <c r="G112" s="4">
        <v>3</v>
      </c>
      <c r="H112" s="4">
        <v>3</v>
      </c>
      <c r="I112" s="5" t="s">
        <v>10</v>
      </c>
      <c r="J112" s="5" t="s">
        <v>10</v>
      </c>
      <c r="K112" s="4">
        <v>12</v>
      </c>
      <c r="L112" s="5" t="s">
        <v>16</v>
      </c>
      <c r="M112" s="6" t="s">
        <v>121</v>
      </c>
      <c r="N112" s="6" t="str">
        <f t="shared" si="12"/>
        <v>Gedung Pertokoan/Koperasi/Pasar Semi Permanen</v>
      </c>
      <c r="O112" t="b">
        <f t="shared" si="13"/>
        <v>0</v>
      </c>
      <c r="Q112" s="12" t="s">
        <v>718</v>
      </c>
      <c r="R112" s="27">
        <v>3</v>
      </c>
      <c r="S112" s="28">
        <v>11</v>
      </c>
      <c r="T112" s="28">
        <v>1</v>
      </c>
      <c r="U112" s="28">
        <v>12</v>
      </c>
      <c r="V112" s="28">
        <v>2</v>
      </c>
      <c r="W112" s="11" t="s">
        <v>463</v>
      </c>
      <c r="X112" t="str">
        <f t="shared" si="14"/>
        <v>Gedung Pertokoan/Koperasi Pasar Semi Permanen</v>
      </c>
      <c r="Y112" s="13" t="s">
        <v>413</v>
      </c>
      <c r="Z112" s="13">
        <v>76</v>
      </c>
    </row>
    <row r="113" spans="1:26" ht="26.25" customHeight="1" x14ac:dyDescent="0.25">
      <c r="A113" t="s">
        <v>1201</v>
      </c>
      <c r="B113" t="str">
        <f t="shared" si="9"/>
        <v>3.11.1.12.3</v>
      </c>
      <c r="C113" t="str">
        <f t="shared" si="10"/>
        <v>Berubah</v>
      </c>
      <c r="D113" t="str">
        <f t="shared" si="11"/>
        <v>1.3.3.01.01.12.003</v>
      </c>
      <c r="E113" s="12" t="s">
        <v>719</v>
      </c>
      <c r="F113" s="4">
        <v>1</v>
      </c>
      <c r="G113" s="4">
        <v>3</v>
      </c>
      <c r="H113" s="4">
        <v>3</v>
      </c>
      <c r="I113" s="5" t="s">
        <v>10</v>
      </c>
      <c r="J113" s="5" t="s">
        <v>10</v>
      </c>
      <c r="K113" s="4">
        <v>12</v>
      </c>
      <c r="L113" s="5" t="s">
        <v>18</v>
      </c>
      <c r="M113" s="6" t="s">
        <v>122</v>
      </c>
      <c r="N113" s="6" t="str">
        <f t="shared" si="12"/>
        <v>Gedung Pertokoan/Koperasi/Pasar Darurat</v>
      </c>
      <c r="O113" t="b">
        <f t="shared" si="13"/>
        <v>0</v>
      </c>
      <c r="Q113" s="12" t="s">
        <v>719</v>
      </c>
      <c r="R113" s="27">
        <v>3</v>
      </c>
      <c r="S113" s="28">
        <v>11</v>
      </c>
      <c r="T113" s="28">
        <v>1</v>
      </c>
      <c r="U113" s="28">
        <v>12</v>
      </c>
      <c r="V113" s="28">
        <v>3</v>
      </c>
      <c r="W113" s="11" t="s">
        <v>464</v>
      </c>
      <c r="X113" t="str">
        <f t="shared" si="14"/>
        <v>Gedung Pertokoan/Koperasi Pasar Darurat</v>
      </c>
      <c r="Y113" s="13" t="s">
        <v>413</v>
      </c>
      <c r="Z113" s="13">
        <v>77</v>
      </c>
    </row>
    <row r="114" spans="1:26" ht="26.25" customHeight="1" x14ac:dyDescent="0.25">
      <c r="A114" t="s">
        <v>1202</v>
      </c>
      <c r="B114" t="str">
        <f t="shared" si="9"/>
        <v>3.11.1.12.4</v>
      </c>
      <c r="C114" t="str">
        <f t="shared" si="10"/>
        <v>Berubah</v>
      </c>
      <c r="D114" t="str">
        <f t="shared" si="11"/>
        <v>1.3.3.01.01.12.004</v>
      </c>
      <c r="E114" s="12" t="s">
        <v>720</v>
      </c>
      <c r="F114" s="4">
        <v>1</v>
      </c>
      <c r="G114" s="4">
        <v>3</v>
      </c>
      <c r="H114" s="4">
        <v>3</v>
      </c>
      <c r="I114" s="5" t="s">
        <v>10</v>
      </c>
      <c r="J114" s="5" t="s">
        <v>10</v>
      </c>
      <c r="K114" s="4">
        <v>12</v>
      </c>
      <c r="L114" s="5" t="s">
        <v>20</v>
      </c>
      <c r="M114" s="6" t="s">
        <v>23</v>
      </c>
      <c r="N114" s="6" t="str">
        <f t="shared" si="12"/>
        <v>Dst….</v>
      </c>
      <c r="O114" t="b">
        <f t="shared" si="13"/>
        <v>0</v>
      </c>
      <c r="Q114" s="12" t="s">
        <v>720</v>
      </c>
      <c r="R114" s="27">
        <v>3</v>
      </c>
      <c r="S114" s="28">
        <v>11</v>
      </c>
      <c r="T114" s="28">
        <v>1</v>
      </c>
      <c r="U114" s="28">
        <v>12</v>
      </c>
      <c r="V114" s="28">
        <v>4</v>
      </c>
      <c r="W114" s="11" t="s">
        <v>415</v>
      </c>
      <c r="X114" t="str">
        <f t="shared" si="14"/>
        <v>Lain-lain</v>
      </c>
      <c r="Y114" s="13" t="s">
        <v>413</v>
      </c>
      <c r="Z114" s="13">
        <v>78</v>
      </c>
    </row>
    <row r="115" spans="1:26" ht="26.25" customHeight="1" x14ac:dyDescent="0.25">
      <c r="A115" t="s">
        <v>1129</v>
      </c>
      <c r="B115" t="str">
        <f t="shared" si="9"/>
        <v>....</v>
      </c>
      <c r="C115" t="str">
        <f t="shared" si="10"/>
        <v>Bertambah</v>
      </c>
      <c r="D115" t="str">
        <f t="shared" si="11"/>
        <v>......</v>
      </c>
      <c r="E115" s="12" t="s">
        <v>721</v>
      </c>
      <c r="F115" s="4"/>
      <c r="G115" s="4"/>
      <c r="H115" s="4"/>
      <c r="I115" s="5"/>
      <c r="J115" s="5"/>
      <c r="K115" s="4"/>
      <c r="L115" s="5"/>
      <c r="M115" s="6"/>
      <c r="N115" s="6" t="str">
        <f t="shared" si="12"/>
        <v/>
      </c>
      <c r="O115" t="b">
        <f t="shared" si="13"/>
        <v>1</v>
      </c>
      <c r="Q115" s="12" t="s">
        <v>721</v>
      </c>
      <c r="R115" s="29"/>
      <c r="S115" s="29"/>
      <c r="T115" s="29"/>
      <c r="U115" s="29"/>
      <c r="V115" s="29"/>
      <c r="W115" s="10"/>
      <c r="X115" t="str">
        <f t="shared" si="14"/>
        <v/>
      </c>
      <c r="Y115" s="10"/>
      <c r="Z115" s="10"/>
    </row>
    <row r="116" spans="1:26" ht="26.25" customHeight="1" x14ac:dyDescent="0.25">
      <c r="A116" t="s">
        <v>1203</v>
      </c>
      <c r="B116" t="str">
        <f t="shared" si="9"/>
        <v>3.11.1.13.*</v>
      </c>
      <c r="C116" t="str">
        <f t="shared" si="10"/>
        <v>Berubah</v>
      </c>
      <c r="D116" t="str">
        <f t="shared" si="11"/>
        <v>1.3.3.01.01.13.</v>
      </c>
      <c r="E116" s="12" t="s">
        <v>722</v>
      </c>
      <c r="F116" s="4">
        <v>1</v>
      </c>
      <c r="G116" s="4">
        <v>3</v>
      </c>
      <c r="H116" s="4">
        <v>3</v>
      </c>
      <c r="I116" s="5" t="s">
        <v>10</v>
      </c>
      <c r="J116" s="5" t="s">
        <v>10</v>
      </c>
      <c r="K116" s="4">
        <v>13</v>
      </c>
      <c r="L116" s="5"/>
      <c r="M116" s="6" t="s">
        <v>123</v>
      </c>
      <c r="N116" s="6" t="str">
        <f t="shared" si="12"/>
        <v>BANGUNAN GEDUNG UNTUK POS JAGA</v>
      </c>
      <c r="O116" t="b">
        <f t="shared" si="13"/>
        <v>1</v>
      </c>
      <c r="Q116" s="12" t="s">
        <v>722</v>
      </c>
      <c r="R116" s="27">
        <v>3</v>
      </c>
      <c r="S116" s="28">
        <v>11</v>
      </c>
      <c r="T116" s="28">
        <v>1</v>
      </c>
      <c r="U116" s="28">
        <v>13</v>
      </c>
      <c r="V116" s="28" t="s">
        <v>411</v>
      </c>
      <c r="W116" s="11" t="s">
        <v>465</v>
      </c>
      <c r="X116" t="str">
        <f t="shared" si="14"/>
        <v>Bangunan Gedung Untuk Pos Jaga</v>
      </c>
      <c r="Y116" s="13" t="s">
        <v>413</v>
      </c>
      <c r="Z116" s="13">
        <v>79</v>
      </c>
    </row>
    <row r="117" spans="1:26" ht="26.25" customHeight="1" x14ac:dyDescent="0.25">
      <c r="A117" t="s">
        <v>1204</v>
      </c>
      <c r="B117" t="str">
        <f t="shared" si="9"/>
        <v>3.11.1.13.1</v>
      </c>
      <c r="C117" t="str">
        <f t="shared" si="10"/>
        <v>Berubah</v>
      </c>
      <c r="D117" t="str">
        <f t="shared" si="11"/>
        <v>1.3.3.01.01.13.001</v>
      </c>
      <c r="E117" s="12" t="s">
        <v>723</v>
      </c>
      <c r="F117" s="4">
        <v>1</v>
      </c>
      <c r="G117" s="4">
        <v>3</v>
      </c>
      <c r="H117" s="4">
        <v>3</v>
      </c>
      <c r="I117" s="5" t="s">
        <v>10</v>
      </c>
      <c r="J117" s="5" t="s">
        <v>10</v>
      </c>
      <c r="K117" s="4">
        <v>13</v>
      </c>
      <c r="L117" s="5" t="s">
        <v>14</v>
      </c>
      <c r="M117" s="6" t="s">
        <v>124</v>
      </c>
      <c r="N117" s="6" t="str">
        <f t="shared" si="12"/>
        <v>Gedung Pos Jaga Permanen</v>
      </c>
      <c r="O117" t="b">
        <f t="shared" si="13"/>
        <v>1</v>
      </c>
      <c r="Q117" s="12" t="s">
        <v>723</v>
      </c>
      <c r="R117" s="27">
        <v>3</v>
      </c>
      <c r="S117" s="28">
        <v>11</v>
      </c>
      <c r="T117" s="28">
        <v>1</v>
      </c>
      <c r="U117" s="28">
        <v>13</v>
      </c>
      <c r="V117" s="28">
        <v>1</v>
      </c>
      <c r="W117" s="11" t="s">
        <v>124</v>
      </c>
      <c r="X117" t="str">
        <f t="shared" si="14"/>
        <v>Gedung Pos Jaga Permanen</v>
      </c>
      <c r="Y117" s="13" t="s">
        <v>413</v>
      </c>
      <c r="Z117" s="13">
        <v>80</v>
      </c>
    </row>
    <row r="118" spans="1:26" ht="26.25" customHeight="1" x14ac:dyDescent="0.25">
      <c r="A118" t="s">
        <v>1205</v>
      </c>
      <c r="B118" t="str">
        <f t="shared" si="9"/>
        <v>3.11.1.13.2</v>
      </c>
      <c r="C118" t="str">
        <f t="shared" si="10"/>
        <v>Berubah</v>
      </c>
      <c r="D118" t="str">
        <f t="shared" si="11"/>
        <v>1.3.3.01.01.13.002</v>
      </c>
      <c r="E118" s="12" t="s">
        <v>724</v>
      </c>
      <c r="F118" s="4">
        <v>1</v>
      </c>
      <c r="G118" s="4">
        <v>3</v>
      </c>
      <c r="H118" s="4">
        <v>3</v>
      </c>
      <c r="I118" s="5" t="s">
        <v>10</v>
      </c>
      <c r="J118" s="5" t="s">
        <v>10</v>
      </c>
      <c r="K118" s="4">
        <v>13</v>
      </c>
      <c r="L118" s="5" t="s">
        <v>16</v>
      </c>
      <c r="M118" s="6" t="s">
        <v>125</v>
      </c>
      <c r="N118" s="6" t="str">
        <f t="shared" si="12"/>
        <v>Gedung Pos Jaga Semi Permanen</v>
      </c>
      <c r="O118" t="b">
        <f t="shared" si="13"/>
        <v>1</v>
      </c>
      <c r="Q118" s="12" t="s">
        <v>724</v>
      </c>
      <c r="R118" s="27">
        <v>3</v>
      </c>
      <c r="S118" s="28">
        <v>11</v>
      </c>
      <c r="T118" s="28">
        <v>1</v>
      </c>
      <c r="U118" s="28">
        <v>13</v>
      </c>
      <c r="V118" s="28">
        <v>2</v>
      </c>
      <c r="W118" s="11" t="s">
        <v>125</v>
      </c>
      <c r="X118" t="str">
        <f t="shared" si="14"/>
        <v>Gedung Pos Jaga Semi Permanen</v>
      </c>
      <c r="Y118" s="13" t="s">
        <v>413</v>
      </c>
      <c r="Z118" s="13">
        <v>81</v>
      </c>
    </row>
    <row r="119" spans="1:26" ht="26.25" customHeight="1" x14ac:dyDescent="0.25">
      <c r="A119" t="s">
        <v>1206</v>
      </c>
      <c r="B119" t="str">
        <f t="shared" si="9"/>
        <v>3.11.1.13.3</v>
      </c>
      <c r="C119" t="str">
        <f t="shared" si="10"/>
        <v>Berubah</v>
      </c>
      <c r="D119" t="str">
        <f t="shared" si="11"/>
        <v>1.3.3.01.01.13.003</v>
      </c>
      <c r="E119" s="12" t="s">
        <v>725</v>
      </c>
      <c r="F119" s="4">
        <v>1</v>
      </c>
      <c r="G119" s="4">
        <v>3</v>
      </c>
      <c r="H119" s="4">
        <v>3</v>
      </c>
      <c r="I119" s="5" t="s">
        <v>10</v>
      </c>
      <c r="J119" s="5" t="s">
        <v>10</v>
      </c>
      <c r="K119" s="4">
        <v>13</v>
      </c>
      <c r="L119" s="5" t="s">
        <v>18</v>
      </c>
      <c r="M119" s="6" t="s">
        <v>126</v>
      </c>
      <c r="N119" s="6" t="str">
        <f t="shared" si="12"/>
        <v>Gedung Pos Jaga Darurat</v>
      </c>
      <c r="O119" t="b">
        <f t="shared" si="13"/>
        <v>1</v>
      </c>
      <c r="Q119" s="12" t="s">
        <v>725</v>
      </c>
      <c r="R119" s="27">
        <v>3</v>
      </c>
      <c r="S119" s="28">
        <v>11</v>
      </c>
      <c r="T119" s="28">
        <v>1</v>
      </c>
      <c r="U119" s="28">
        <v>13</v>
      </c>
      <c r="V119" s="28">
        <v>3</v>
      </c>
      <c r="W119" s="11" t="s">
        <v>126</v>
      </c>
      <c r="X119" t="str">
        <f t="shared" si="14"/>
        <v>Gedung Pos Jaga Darurat</v>
      </c>
      <c r="Y119" s="13" t="s">
        <v>413</v>
      </c>
      <c r="Z119" s="13">
        <v>82</v>
      </c>
    </row>
    <row r="120" spans="1:26" ht="26.25" customHeight="1" x14ac:dyDescent="0.25">
      <c r="A120" t="s">
        <v>1207</v>
      </c>
      <c r="B120" t="str">
        <f t="shared" si="9"/>
        <v>3.11.1.13.4</v>
      </c>
      <c r="C120" t="str">
        <f t="shared" si="10"/>
        <v>Berubah</v>
      </c>
      <c r="D120" t="str">
        <f t="shared" si="11"/>
        <v>1.3.3.01.01.13.004</v>
      </c>
      <c r="E120" s="12" t="s">
        <v>726</v>
      </c>
      <c r="F120" s="4">
        <v>1</v>
      </c>
      <c r="G120" s="4">
        <v>3</v>
      </c>
      <c r="H120" s="4">
        <v>3</v>
      </c>
      <c r="I120" s="5" t="s">
        <v>10</v>
      </c>
      <c r="J120" s="5" t="s">
        <v>10</v>
      </c>
      <c r="K120" s="4">
        <v>13</v>
      </c>
      <c r="L120" s="5" t="s">
        <v>20</v>
      </c>
      <c r="M120" s="6" t="s">
        <v>127</v>
      </c>
      <c r="N120" s="6" t="str">
        <f t="shared" si="12"/>
        <v>Gedung Menara Peninjau Permanen</v>
      </c>
      <c r="O120" t="b">
        <f t="shared" si="13"/>
        <v>1</v>
      </c>
      <c r="Q120" s="12" t="s">
        <v>726</v>
      </c>
      <c r="R120" s="27">
        <v>3</v>
      </c>
      <c r="S120" s="28">
        <v>11</v>
      </c>
      <c r="T120" s="28">
        <v>1</v>
      </c>
      <c r="U120" s="28">
        <v>13</v>
      </c>
      <c r="V120" s="28">
        <v>4</v>
      </c>
      <c r="W120" s="11" t="s">
        <v>466</v>
      </c>
      <c r="X120" t="str">
        <f t="shared" si="14"/>
        <v>Gedung menara Peninjau Permanen</v>
      </c>
      <c r="Y120" s="13" t="s">
        <v>413</v>
      </c>
      <c r="Z120" s="13">
        <v>83</v>
      </c>
    </row>
    <row r="121" spans="1:26" ht="26.25" customHeight="1" x14ac:dyDescent="0.25">
      <c r="A121" t="s">
        <v>1208</v>
      </c>
      <c r="B121" t="str">
        <f t="shared" si="9"/>
        <v>3.11.1.13.5</v>
      </c>
      <c r="C121" t="str">
        <f t="shared" si="10"/>
        <v>Berubah</v>
      </c>
      <c r="D121" t="str">
        <f t="shared" si="11"/>
        <v>1.3.3.01.01.13.005</v>
      </c>
      <c r="E121" s="12" t="s">
        <v>727</v>
      </c>
      <c r="F121" s="4">
        <v>1</v>
      </c>
      <c r="G121" s="4">
        <v>3</v>
      </c>
      <c r="H121" s="4">
        <v>3</v>
      </c>
      <c r="I121" s="5" t="s">
        <v>10</v>
      </c>
      <c r="J121" s="5" t="s">
        <v>10</v>
      </c>
      <c r="K121" s="4">
        <v>13</v>
      </c>
      <c r="L121" s="5" t="s">
        <v>22</v>
      </c>
      <c r="M121" s="6" t="s">
        <v>128</v>
      </c>
      <c r="N121" s="6" t="str">
        <f t="shared" si="12"/>
        <v>Gedung Menara Peninjau Semi Permanen</v>
      </c>
      <c r="O121" t="b">
        <f t="shared" si="13"/>
        <v>1</v>
      </c>
      <c r="Q121" s="12" t="s">
        <v>727</v>
      </c>
      <c r="R121" s="27">
        <v>3</v>
      </c>
      <c r="S121" s="28">
        <v>11</v>
      </c>
      <c r="T121" s="28">
        <v>1</v>
      </c>
      <c r="U121" s="28">
        <v>13</v>
      </c>
      <c r="V121" s="28">
        <v>5</v>
      </c>
      <c r="W121" s="11" t="s">
        <v>128</v>
      </c>
      <c r="X121" t="str">
        <f t="shared" si="14"/>
        <v>Gedung Menara Peninjau Semi Permanen</v>
      </c>
      <c r="Y121" s="13" t="s">
        <v>413</v>
      </c>
      <c r="Z121" s="13">
        <v>84</v>
      </c>
    </row>
    <row r="122" spans="1:26" ht="26.25" customHeight="1" x14ac:dyDescent="0.25">
      <c r="A122" t="s">
        <v>1209</v>
      </c>
      <c r="B122" t="str">
        <f t="shared" si="9"/>
        <v>3.11.1.13.6</v>
      </c>
      <c r="C122" t="str">
        <f t="shared" si="10"/>
        <v>Berubah</v>
      </c>
      <c r="D122" t="str">
        <f t="shared" si="11"/>
        <v>1.3.3.01.01.13.006</v>
      </c>
      <c r="E122" s="12" t="s">
        <v>728</v>
      </c>
      <c r="F122" s="4">
        <v>1</v>
      </c>
      <c r="G122" s="4">
        <v>3</v>
      </c>
      <c r="H122" s="4">
        <v>3</v>
      </c>
      <c r="I122" s="5" t="s">
        <v>10</v>
      </c>
      <c r="J122" s="5" t="s">
        <v>10</v>
      </c>
      <c r="K122" s="4">
        <v>13</v>
      </c>
      <c r="L122" s="5" t="s">
        <v>31</v>
      </c>
      <c r="M122" s="6" t="s">
        <v>129</v>
      </c>
      <c r="N122" s="6" t="str">
        <f t="shared" si="12"/>
        <v>Gedung Menara Peninjau Darurat</v>
      </c>
      <c r="O122" t="b">
        <f t="shared" si="13"/>
        <v>0</v>
      </c>
      <c r="Q122" s="12" t="s">
        <v>728</v>
      </c>
      <c r="R122" s="27">
        <v>3</v>
      </c>
      <c r="S122" s="28">
        <v>11</v>
      </c>
      <c r="T122" s="28">
        <v>1</v>
      </c>
      <c r="U122" s="28">
        <v>13</v>
      </c>
      <c r="V122" s="28">
        <v>6</v>
      </c>
      <c r="W122" s="11" t="s">
        <v>467</v>
      </c>
      <c r="X122" t="str">
        <f t="shared" si="14"/>
        <v>Gedung Menara Peninjau Darurat</v>
      </c>
      <c r="Y122" s="13" t="s">
        <v>413</v>
      </c>
      <c r="Z122" s="13">
        <v>85</v>
      </c>
    </row>
    <row r="123" spans="1:26" ht="26.25" customHeight="1" x14ac:dyDescent="0.25">
      <c r="A123" t="s">
        <v>1129</v>
      </c>
      <c r="B123" t="str">
        <f t="shared" si="9"/>
        <v>....</v>
      </c>
      <c r="C123" t="str">
        <f t="shared" si="10"/>
        <v>Bertambah</v>
      </c>
      <c r="D123" t="str">
        <f t="shared" si="11"/>
        <v>1.3.3.01.01.13.007</v>
      </c>
      <c r="E123" s="12" t="s">
        <v>729</v>
      </c>
      <c r="F123" s="17">
        <v>1</v>
      </c>
      <c r="G123" s="17">
        <v>3</v>
      </c>
      <c r="H123" s="17">
        <v>3</v>
      </c>
      <c r="I123" s="18" t="s">
        <v>10</v>
      </c>
      <c r="J123" s="18" t="s">
        <v>10</v>
      </c>
      <c r="K123" s="17">
        <v>13</v>
      </c>
      <c r="L123" s="18" t="s">
        <v>33</v>
      </c>
      <c r="M123" s="19" t="s">
        <v>130</v>
      </c>
      <c r="N123" s="19" t="str">
        <f t="shared" si="12"/>
        <v>Gedung Pos Pamtas Permanen</v>
      </c>
      <c r="O123" t="b">
        <f t="shared" si="13"/>
        <v>0</v>
      </c>
      <c r="Q123" s="12" t="s">
        <v>729</v>
      </c>
      <c r="R123" s="29"/>
      <c r="S123" s="29"/>
      <c r="T123" s="29"/>
      <c r="U123" s="29"/>
      <c r="V123" s="29"/>
      <c r="W123" s="10"/>
      <c r="X123" t="str">
        <f t="shared" si="14"/>
        <v/>
      </c>
      <c r="Y123" s="10"/>
      <c r="Z123" s="10"/>
    </row>
    <row r="124" spans="1:26" ht="26.25" customHeight="1" x14ac:dyDescent="0.25">
      <c r="A124" t="s">
        <v>1129</v>
      </c>
      <c r="B124" t="str">
        <f t="shared" si="9"/>
        <v>....</v>
      </c>
      <c r="C124" t="str">
        <f t="shared" si="10"/>
        <v>Bertambah</v>
      </c>
      <c r="D124" t="str">
        <f t="shared" si="11"/>
        <v>1.3.3.01.01.13.008</v>
      </c>
      <c r="E124" s="12" t="s">
        <v>730</v>
      </c>
      <c r="F124" s="17">
        <v>1</v>
      </c>
      <c r="G124" s="17">
        <v>3</v>
      </c>
      <c r="H124" s="17">
        <v>3</v>
      </c>
      <c r="I124" s="18" t="s">
        <v>10</v>
      </c>
      <c r="J124" s="18" t="s">
        <v>10</v>
      </c>
      <c r="K124" s="17">
        <v>13</v>
      </c>
      <c r="L124" s="18" t="s">
        <v>35</v>
      </c>
      <c r="M124" s="19" t="s">
        <v>131</v>
      </c>
      <c r="N124" s="19" t="str">
        <f t="shared" si="12"/>
        <v>Gedung Pos Pamtas Semi Permanen</v>
      </c>
      <c r="O124" t="b">
        <f t="shared" si="13"/>
        <v>0</v>
      </c>
      <c r="Q124" s="12" t="s">
        <v>730</v>
      </c>
      <c r="R124" s="29"/>
      <c r="S124" s="29"/>
      <c r="T124" s="29"/>
      <c r="U124" s="29"/>
      <c r="V124" s="29"/>
      <c r="W124" s="10"/>
      <c r="X124" t="str">
        <f t="shared" si="14"/>
        <v/>
      </c>
      <c r="Y124" s="10"/>
      <c r="Z124" s="10"/>
    </row>
    <row r="125" spans="1:26" ht="26.25" customHeight="1" x14ac:dyDescent="0.25">
      <c r="A125" t="s">
        <v>1129</v>
      </c>
      <c r="B125" t="str">
        <f t="shared" si="9"/>
        <v>....</v>
      </c>
      <c r="C125" t="str">
        <f t="shared" si="10"/>
        <v>Bertambah</v>
      </c>
      <c r="D125" t="str">
        <f t="shared" si="11"/>
        <v>1.3.3.01.01.13.009</v>
      </c>
      <c r="E125" s="12" t="s">
        <v>731</v>
      </c>
      <c r="F125" s="17">
        <v>1</v>
      </c>
      <c r="G125" s="17">
        <v>3</v>
      </c>
      <c r="H125" s="17">
        <v>3</v>
      </c>
      <c r="I125" s="18" t="s">
        <v>10</v>
      </c>
      <c r="J125" s="18" t="s">
        <v>10</v>
      </c>
      <c r="K125" s="17">
        <v>13</v>
      </c>
      <c r="L125" s="18" t="s">
        <v>37</v>
      </c>
      <c r="M125" s="19" t="s">
        <v>132</v>
      </c>
      <c r="N125" s="19" t="str">
        <f t="shared" si="12"/>
        <v>Gedung Pos Pamtas Darurat</v>
      </c>
      <c r="O125" t="b">
        <f t="shared" ref="O125:O156" si="15">M125=W125</f>
        <v>0</v>
      </c>
      <c r="Q125" s="12" t="s">
        <v>731</v>
      </c>
      <c r="R125" s="29"/>
      <c r="S125" s="29"/>
      <c r="T125" s="29"/>
      <c r="U125" s="29"/>
      <c r="V125" s="29"/>
      <c r="W125" s="10"/>
      <c r="X125" t="str">
        <f t="shared" si="14"/>
        <v/>
      </c>
      <c r="Y125" s="10"/>
      <c r="Z125" s="10"/>
    </row>
    <row r="126" spans="1:26" ht="26.25" customHeight="1" x14ac:dyDescent="0.25">
      <c r="A126" t="s">
        <v>1210</v>
      </c>
      <c r="B126" t="str">
        <f t="shared" si="9"/>
        <v>3.11.1.13.7</v>
      </c>
      <c r="C126" t="str">
        <f t="shared" si="10"/>
        <v>Berubah</v>
      </c>
      <c r="D126" t="str">
        <f t="shared" si="11"/>
        <v>1.3.3.01.01.13.010</v>
      </c>
      <c r="E126" s="12" t="s">
        <v>732</v>
      </c>
      <c r="F126" s="4">
        <v>1</v>
      </c>
      <c r="G126" s="4">
        <v>3</v>
      </c>
      <c r="H126" s="4">
        <v>3</v>
      </c>
      <c r="I126" s="5" t="s">
        <v>10</v>
      </c>
      <c r="J126" s="5" t="s">
        <v>10</v>
      </c>
      <c r="K126" s="4">
        <v>13</v>
      </c>
      <c r="L126" s="5" t="s">
        <v>39</v>
      </c>
      <c r="M126" s="6" t="s">
        <v>23</v>
      </c>
      <c r="N126" s="6" t="str">
        <f t="shared" si="12"/>
        <v>Dst….</v>
      </c>
      <c r="O126" t="b">
        <f t="shared" si="15"/>
        <v>0</v>
      </c>
      <c r="Q126" s="12" t="s">
        <v>732</v>
      </c>
      <c r="R126" s="27">
        <v>3</v>
      </c>
      <c r="S126" s="28">
        <v>11</v>
      </c>
      <c r="T126" s="28">
        <v>1</v>
      </c>
      <c r="U126" s="28">
        <v>13</v>
      </c>
      <c r="V126" s="28">
        <v>7</v>
      </c>
      <c r="W126" s="11" t="s">
        <v>415</v>
      </c>
      <c r="X126" t="str">
        <f t="shared" si="14"/>
        <v>Lain-lain</v>
      </c>
      <c r="Y126" s="13" t="s">
        <v>413</v>
      </c>
      <c r="Z126" s="13">
        <v>86</v>
      </c>
    </row>
    <row r="127" spans="1:26" ht="26.25" customHeight="1" x14ac:dyDescent="0.25">
      <c r="A127" t="s">
        <v>1211</v>
      </c>
      <c r="B127" t="str">
        <f t="shared" si="9"/>
        <v>3.11.1.14.*</v>
      </c>
      <c r="C127" t="str">
        <f t="shared" si="10"/>
        <v>Berubah</v>
      </c>
      <c r="D127" t="str">
        <f t="shared" si="11"/>
        <v>1.3.3.01.01.14.</v>
      </c>
      <c r="E127" s="12" t="s">
        <v>733</v>
      </c>
      <c r="F127" s="4">
        <v>1</v>
      </c>
      <c r="G127" s="4">
        <v>3</v>
      </c>
      <c r="H127" s="4">
        <v>3</v>
      </c>
      <c r="I127" s="5" t="s">
        <v>10</v>
      </c>
      <c r="J127" s="5" t="s">
        <v>10</v>
      </c>
      <c r="K127" s="4">
        <v>14</v>
      </c>
      <c r="L127" s="5"/>
      <c r="M127" s="6" t="s">
        <v>133</v>
      </c>
      <c r="N127" s="6" t="str">
        <f t="shared" si="12"/>
        <v>BANGUNAN GEDUNG GARASI/POOL</v>
      </c>
      <c r="O127" t="b">
        <f t="shared" si="15"/>
        <v>1</v>
      </c>
      <c r="Q127" s="12" t="s">
        <v>733</v>
      </c>
      <c r="R127" s="27">
        <v>3</v>
      </c>
      <c r="S127" s="28">
        <v>11</v>
      </c>
      <c r="T127" s="28">
        <v>1</v>
      </c>
      <c r="U127" s="28">
        <v>14</v>
      </c>
      <c r="V127" s="28" t="s">
        <v>411</v>
      </c>
      <c r="W127" s="11" t="s">
        <v>468</v>
      </c>
      <c r="X127" t="str">
        <f t="shared" si="14"/>
        <v>Bangunan Gedung Garasi/Pool</v>
      </c>
      <c r="Y127" s="13" t="s">
        <v>413</v>
      </c>
      <c r="Z127" s="13">
        <v>87</v>
      </c>
    </row>
    <row r="128" spans="1:26" ht="26.25" customHeight="1" x14ac:dyDescent="0.25">
      <c r="A128" t="s">
        <v>1212</v>
      </c>
      <c r="B128" t="str">
        <f t="shared" si="9"/>
        <v>3.11.1.14.1</v>
      </c>
      <c r="C128" t="str">
        <f t="shared" si="10"/>
        <v>Berubah</v>
      </c>
      <c r="D128" t="str">
        <f t="shared" si="11"/>
        <v>1.3.3.01.01.14.001</v>
      </c>
      <c r="E128" s="12" t="s">
        <v>734</v>
      </c>
      <c r="F128" s="4">
        <v>1</v>
      </c>
      <c r="G128" s="4">
        <v>3</v>
      </c>
      <c r="H128" s="4">
        <v>3</v>
      </c>
      <c r="I128" s="5" t="s">
        <v>10</v>
      </c>
      <c r="J128" s="5" t="s">
        <v>10</v>
      </c>
      <c r="K128" s="4">
        <v>14</v>
      </c>
      <c r="L128" s="5" t="s">
        <v>14</v>
      </c>
      <c r="M128" s="6" t="s">
        <v>134</v>
      </c>
      <c r="N128" s="6" t="str">
        <f t="shared" si="12"/>
        <v>Gedung Garasi/Pool Permanen</v>
      </c>
      <c r="O128" t="b">
        <f t="shared" si="15"/>
        <v>1</v>
      </c>
      <c r="Q128" s="12" t="s">
        <v>734</v>
      </c>
      <c r="R128" s="27">
        <v>3</v>
      </c>
      <c r="S128" s="28">
        <v>11</v>
      </c>
      <c r="T128" s="28">
        <v>1</v>
      </c>
      <c r="U128" s="28">
        <v>14</v>
      </c>
      <c r="V128" s="28">
        <v>1</v>
      </c>
      <c r="W128" s="11" t="s">
        <v>134</v>
      </c>
      <c r="X128" t="str">
        <f t="shared" si="14"/>
        <v>Gedung Garasi/Pool Permanen</v>
      </c>
      <c r="Y128" s="13" t="s">
        <v>413</v>
      </c>
      <c r="Z128" s="13">
        <v>88</v>
      </c>
    </row>
    <row r="129" spans="1:26" ht="26.25" customHeight="1" x14ac:dyDescent="0.25">
      <c r="A129" t="s">
        <v>1213</v>
      </c>
      <c r="B129" t="str">
        <f t="shared" si="9"/>
        <v>3.11.1.14.2</v>
      </c>
      <c r="C129" t="str">
        <f t="shared" si="10"/>
        <v>Berubah</v>
      </c>
      <c r="D129" t="str">
        <f t="shared" si="11"/>
        <v>1.3.3.01.01.14.002</v>
      </c>
      <c r="E129" s="12" t="s">
        <v>735</v>
      </c>
      <c r="F129" s="4">
        <v>1</v>
      </c>
      <c r="G129" s="4">
        <v>3</v>
      </c>
      <c r="H129" s="4">
        <v>3</v>
      </c>
      <c r="I129" s="5" t="s">
        <v>10</v>
      </c>
      <c r="J129" s="5" t="s">
        <v>10</v>
      </c>
      <c r="K129" s="4">
        <v>14</v>
      </c>
      <c r="L129" s="5" t="s">
        <v>16</v>
      </c>
      <c r="M129" s="6" t="s">
        <v>135</v>
      </c>
      <c r="N129" s="6" t="str">
        <f t="shared" si="12"/>
        <v>Gedung Garasi/Pool Semi Permanen</v>
      </c>
      <c r="O129" t="b">
        <f t="shared" si="15"/>
        <v>1</v>
      </c>
      <c r="Q129" s="12" t="s">
        <v>735</v>
      </c>
      <c r="R129" s="27">
        <v>3</v>
      </c>
      <c r="S129" s="28">
        <v>11</v>
      </c>
      <c r="T129" s="28">
        <v>1</v>
      </c>
      <c r="U129" s="28">
        <v>14</v>
      </c>
      <c r="V129" s="28">
        <v>2</v>
      </c>
      <c r="W129" s="11" t="s">
        <v>135</v>
      </c>
      <c r="X129" t="str">
        <f t="shared" si="14"/>
        <v>Gedung Garasi/Pool Semi Permanen</v>
      </c>
      <c r="Y129" s="13" t="s">
        <v>413</v>
      </c>
      <c r="Z129" s="13">
        <v>89</v>
      </c>
    </row>
    <row r="130" spans="1:26" ht="26.25" customHeight="1" x14ac:dyDescent="0.25">
      <c r="A130" t="s">
        <v>1214</v>
      </c>
      <c r="B130" t="str">
        <f t="shared" si="9"/>
        <v>3.11.1.14.3</v>
      </c>
      <c r="C130" t="str">
        <f t="shared" si="10"/>
        <v>Berubah</v>
      </c>
      <c r="D130" t="str">
        <f t="shared" si="11"/>
        <v>1.3.3.01.01.14.003</v>
      </c>
      <c r="E130" s="12" t="s">
        <v>736</v>
      </c>
      <c r="F130" s="4">
        <v>1</v>
      </c>
      <c r="G130" s="4">
        <v>3</v>
      </c>
      <c r="H130" s="4">
        <v>3</v>
      </c>
      <c r="I130" s="5" t="s">
        <v>10</v>
      </c>
      <c r="J130" s="5" t="s">
        <v>10</v>
      </c>
      <c r="K130" s="4">
        <v>14</v>
      </c>
      <c r="L130" s="5" t="s">
        <v>18</v>
      </c>
      <c r="M130" s="6" t="s">
        <v>136</v>
      </c>
      <c r="N130" s="6" t="str">
        <f t="shared" si="12"/>
        <v>Gedung Garasi/Pool Darurat</v>
      </c>
      <c r="O130" t="b">
        <f t="shared" si="15"/>
        <v>1</v>
      </c>
      <c r="Q130" s="12" t="s">
        <v>736</v>
      </c>
      <c r="R130" s="27">
        <v>3</v>
      </c>
      <c r="S130" s="28">
        <v>11</v>
      </c>
      <c r="T130" s="28">
        <v>1</v>
      </c>
      <c r="U130" s="28">
        <v>14</v>
      </c>
      <c r="V130" s="28">
        <v>3</v>
      </c>
      <c r="W130" s="11" t="s">
        <v>136</v>
      </c>
      <c r="X130" t="str">
        <f t="shared" si="14"/>
        <v>Gedung Garasi/Pool Darurat</v>
      </c>
      <c r="Y130" s="13" t="s">
        <v>413</v>
      </c>
      <c r="Z130" s="13">
        <v>90</v>
      </c>
    </row>
    <row r="131" spans="1:26" ht="26.25" customHeight="1" x14ac:dyDescent="0.25">
      <c r="A131" t="s">
        <v>1215</v>
      </c>
      <c r="B131" t="str">
        <f t="shared" si="9"/>
        <v>3.11.1.14.4</v>
      </c>
      <c r="C131" t="str">
        <f t="shared" si="10"/>
        <v>Berubah</v>
      </c>
      <c r="D131" t="str">
        <f t="shared" si="11"/>
        <v>1.3.3.01.01.14.004</v>
      </c>
      <c r="E131" s="12" t="s">
        <v>737</v>
      </c>
      <c r="F131" s="17">
        <v>1</v>
      </c>
      <c r="G131" s="17">
        <v>3</v>
      </c>
      <c r="H131" s="17">
        <v>3</v>
      </c>
      <c r="I131" s="18" t="s">
        <v>10</v>
      </c>
      <c r="J131" s="18" t="s">
        <v>10</v>
      </c>
      <c r="K131" s="17">
        <v>14</v>
      </c>
      <c r="L131" s="18" t="s">
        <v>20</v>
      </c>
      <c r="M131" s="19" t="s">
        <v>23</v>
      </c>
      <c r="N131" s="19" t="str">
        <f t="shared" si="12"/>
        <v>Dst….</v>
      </c>
      <c r="O131" t="b">
        <f t="shared" si="15"/>
        <v>0</v>
      </c>
      <c r="Q131" s="12" t="s">
        <v>737</v>
      </c>
      <c r="R131" s="27">
        <v>3</v>
      </c>
      <c r="S131" s="28">
        <v>11</v>
      </c>
      <c r="T131" s="28">
        <v>1</v>
      </c>
      <c r="U131" s="28">
        <v>14</v>
      </c>
      <c r="V131" s="28">
        <v>4</v>
      </c>
      <c r="W131" s="11" t="s">
        <v>469</v>
      </c>
      <c r="X131" t="str">
        <f t="shared" si="14"/>
        <v>Gedung Lain-lain</v>
      </c>
      <c r="Y131" s="13" t="s">
        <v>413</v>
      </c>
      <c r="Z131" s="13">
        <v>91</v>
      </c>
    </row>
    <row r="132" spans="1:26" ht="26.25" customHeight="1" x14ac:dyDescent="0.25">
      <c r="A132" t="s">
        <v>1129</v>
      </c>
      <c r="B132" t="str">
        <f t="shared" si="9"/>
        <v>....</v>
      </c>
      <c r="C132" t="str">
        <f t="shared" si="10"/>
        <v>Bertambah</v>
      </c>
      <c r="D132" t="str">
        <f t="shared" si="11"/>
        <v>......</v>
      </c>
      <c r="E132" s="12" t="s">
        <v>738</v>
      </c>
      <c r="F132" s="4"/>
      <c r="G132" s="4"/>
      <c r="H132" s="4"/>
      <c r="I132" s="5"/>
      <c r="J132" s="5"/>
      <c r="K132" s="4"/>
      <c r="L132" s="5"/>
      <c r="M132" s="6"/>
      <c r="N132" s="6" t="str">
        <f t="shared" si="12"/>
        <v/>
      </c>
      <c r="O132" t="b">
        <f t="shared" si="15"/>
        <v>1</v>
      </c>
      <c r="Q132" s="12" t="s">
        <v>738</v>
      </c>
      <c r="R132" s="29"/>
      <c r="S132" s="29"/>
      <c r="T132" s="29"/>
      <c r="U132" s="29"/>
      <c r="V132" s="29"/>
      <c r="W132" s="10"/>
      <c r="X132" t="str">
        <f t="shared" si="14"/>
        <v/>
      </c>
      <c r="Y132" s="10"/>
      <c r="Z132" s="10"/>
    </row>
    <row r="133" spans="1:26" ht="26.25" customHeight="1" x14ac:dyDescent="0.25">
      <c r="A133" t="s">
        <v>1216</v>
      </c>
      <c r="B133" t="str">
        <f t="shared" si="9"/>
        <v>3.11.1.15. *</v>
      </c>
      <c r="C133" t="str">
        <f t="shared" si="10"/>
        <v>Berubah</v>
      </c>
      <c r="D133" t="str">
        <f t="shared" si="11"/>
        <v>1.3.3.01.01.15.</v>
      </c>
      <c r="E133" s="12" t="s">
        <v>739</v>
      </c>
      <c r="F133" s="4">
        <v>1</v>
      </c>
      <c r="G133" s="4">
        <v>3</v>
      </c>
      <c r="H133" s="4">
        <v>3</v>
      </c>
      <c r="I133" s="5" t="s">
        <v>10</v>
      </c>
      <c r="J133" s="5" t="s">
        <v>10</v>
      </c>
      <c r="K133" s="4">
        <v>15</v>
      </c>
      <c r="L133" s="5"/>
      <c r="M133" s="6" t="s">
        <v>137</v>
      </c>
      <c r="N133" s="6" t="str">
        <f t="shared" si="12"/>
        <v>BANGUNAN GEDUNG PEMOTONG HEWAN</v>
      </c>
      <c r="O133" t="b">
        <f t="shared" si="15"/>
        <v>0</v>
      </c>
      <c r="Q133" s="12" t="s">
        <v>739</v>
      </c>
      <c r="R133" s="27">
        <v>3</v>
      </c>
      <c r="S133" s="28">
        <v>11</v>
      </c>
      <c r="T133" s="28">
        <v>1</v>
      </c>
      <c r="U133" s="28">
        <v>15</v>
      </c>
      <c r="V133" s="28" t="s">
        <v>470</v>
      </c>
      <c r="W133" s="11" t="s">
        <v>471</v>
      </c>
      <c r="X133" t="str">
        <f t="shared" si="14"/>
        <v>Bangunan Gedung Pemotongan Hewan</v>
      </c>
      <c r="Y133" s="13" t="s">
        <v>413</v>
      </c>
      <c r="Z133" s="13">
        <v>92</v>
      </c>
    </row>
    <row r="134" spans="1:26" ht="26.25" customHeight="1" x14ac:dyDescent="0.25">
      <c r="A134" t="s">
        <v>1217</v>
      </c>
      <c r="B134" t="str">
        <f t="shared" si="9"/>
        <v>3.11.1.15.1</v>
      </c>
      <c r="C134" t="str">
        <f t="shared" si="10"/>
        <v>Berubah</v>
      </c>
      <c r="D134" t="str">
        <f t="shared" si="11"/>
        <v>1.3.3.01.01.15.001</v>
      </c>
      <c r="E134" s="12" t="s">
        <v>740</v>
      </c>
      <c r="F134" s="4">
        <v>1</v>
      </c>
      <c r="G134" s="4">
        <v>3</v>
      </c>
      <c r="H134" s="4">
        <v>3</v>
      </c>
      <c r="I134" s="5" t="s">
        <v>10</v>
      </c>
      <c r="J134" s="5" t="s">
        <v>10</v>
      </c>
      <c r="K134" s="4">
        <v>15</v>
      </c>
      <c r="L134" s="5" t="s">
        <v>14</v>
      </c>
      <c r="M134" s="6" t="s">
        <v>138</v>
      </c>
      <c r="N134" s="6" t="str">
        <f t="shared" si="12"/>
        <v>Gedung Pemotong Hewan Permanen</v>
      </c>
      <c r="O134" t="b">
        <f t="shared" si="15"/>
        <v>0</v>
      </c>
      <c r="Q134" s="12" t="s">
        <v>740</v>
      </c>
      <c r="R134" s="27">
        <v>3</v>
      </c>
      <c r="S134" s="28">
        <v>11</v>
      </c>
      <c r="T134" s="28">
        <v>1</v>
      </c>
      <c r="U134" s="28">
        <v>15</v>
      </c>
      <c r="V134" s="28">
        <v>1</v>
      </c>
      <c r="W134" s="11" t="s">
        <v>472</v>
      </c>
      <c r="X134" t="str">
        <f t="shared" si="14"/>
        <v>Gedung Pemotongan Hewan Permanen</v>
      </c>
      <c r="Y134" s="13" t="s">
        <v>413</v>
      </c>
      <c r="Z134" s="13">
        <v>93</v>
      </c>
    </row>
    <row r="135" spans="1:26" ht="26.25" customHeight="1" x14ac:dyDescent="0.25">
      <c r="A135" t="s">
        <v>1218</v>
      </c>
      <c r="B135" t="str">
        <f t="shared" ref="B135:B198" si="16">R135&amp;"."&amp;S135&amp;"."&amp;T135&amp;"."&amp;U135&amp;"."&amp;V135</f>
        <v>3.11.1.15.2</v>
      </c>
      <c r="C135" t="str">
        <f t="shared" ref="C135:C184" si="17">IF(R135&lt;&gt;"",IF(F135="","Keluar","Berubah"),"Bertambah")</f>
        <v>Berubah</v>
      </c>
      <c r="D135" t="str">
        <f t="shared" si="11"/>
        <v>1.3.3.01.01.15.002</v>
      </c>
      <c r="E135" s="12" t="s">
        <v>741</v>
      </c>
      <c r="F135" s="4">
        <v>1</v>
      </c>
      <c r="G135" s="4">
        <v>3</v>
      </c>
      <c r="H135" s="4">
        <v>3</v>
      </c>
      <c r="I135" s="5" t="s">
        <v>10</v>
      </c>
      <c r="J135" s="5" t="s">
        <v>10</v>
      </c>
      <c r="K135" s="4">
        <v>15</v>
      </c>
      <c r="L135" s="5" t="s">
        <v>16</v>
      </c>
      <c r="M135" s="6" t="s">
        <v>139</v>
      </c>
      <c r="N135" s="6" t="str">
        <f t="shared" si="12"/>
        <v>Gedung Pemotong Hewan Semi Permanen</v>
      </c>
      <c r="O135" t="b">
        <f t="shared" si="15"/>
        <v>0</v>
      </c>
      <c r="Q135" s="12" t="s">
        <v>741</v>
      </c>
      <c r="R135" s="27">
        <v>3</v>
      </c>
      <c r="S135" s="28">
        <v>11</v>
      </c>
      <c r="T135" s="28">
        <v>1</v>
      </c>
      <c r="U135" s="28">
        <v>15</v>
      </c>
      <c r="V135" s="28">
        <v>2</v>
      </c>
      <c r="W135" s="11" t="s">
        <v>473</v>
      </c>
      <c r="X135" t="str">
        <f t="shared" si="14"/>
        <v>Gedung Pemotongan Hewan Semi Permanen</v>
      </c>
      <c r="Y135" s="13" t="s">
        <v>413</v>
      </c>
      <c r="Z135" s="13">
        <v>94</v>
      </c>
    </row>
    <row r="136" spans="1:26" ht="26.25" customHeight="1" x14ac:dyDescent="0.25">
      <c r="A136" t="s">
        <v>1219</v>
      </c>
      <c r="B136" t="str">
        <f t="shared" si="16"/>
        <v>3.11.1.15.3</v>
      </c>
      <c r="C136" t="str">
        <f t="shared" si="17"/>
        <v>Berubah</v>
      </c>
      <c r="D136" t="str">
        <f t="shared" ref="D136:D199" si="18">F136&amp;"."&amp;G136&amp;"."&amp;H136&amp;"."&amp;I136&amp;"."&amp;J136&amp;"."&amp;K136&amp;"."&amp;L136</f>
        <v>1.3.3.01.01.15.003</v>
      </c>
      <c r="E136" s="12" t="s">
        <v>742</v>
      </c>
      <c r="F136" s="4">
        <v>1</v>
      </c>
      <c r="G136" s="4">
        <v>3</v>
      </c>
      <c r="H136" s="4">
        <v>3</v>
      </c>
      <c r="I136" s="5" t="s">
        <v>10</v>
      </c>
      <c r="J136" s="5" t="s">
        <v>10</v>
      </c>
      <c r="K136" s="4">
        <v>15</v>
      </c>
      <c r="L136" s="5" t="s">
        <v>18</v>
      </c>
      <c r="M136" s="6" t="s">
        <v>140</v>
      </c>
      <c r="N136" s="6" t="str">
        <f t="shared" si="12"/>
        <v>Gedung Pemotong Hewan Darurat</v>
      </c>
      <c r="O136" t="b">
        <f t="shared" si="15"/>
        <v>0</v>
      </c>
      <c r="Q136" s="12" t="s">
        <v>742</v>
      </c>
      <c r="R136" s="27">
        <v>3</v>
      </c>
      <c r="S136" s="28">
        <v>11</v>
      </c>
      <c r="T136" s="28">
        <v>1</v>
      </c>
      <c r="U136" s="28">
        <v>15</v>
      </c>
      <c r="V136" s="28">
        <v>3</v>
      </c>
      <c r="W136" s="11" t="s">
        <v>474</v>
      </c>
      <c r="X136" t="str">
        <f t="shared" si="14"/>
        <v>Gedung Pemotongan Hewan Darurat</v>
      </c>
      <c r="Y136" s="13" t="s">
        <v>413</v>
      </c>
      <c r="Z136" s="13">
        <v>95</v>
      </c>
    </row>
    <row r="137" spans="1:26" ht="26.25" customHeight="1" x14ac:dyDescent="0.25">
      <c r="A137" t="s">
        <v>1220</v>
      </c>
      <c r="B137" t="str">
        <f t="shared" si="16"/>
        <v>3.11.1.15.4</v>
      </c>
      <c r="C137" t="str">
        <f t="shared" si="17"/>
        <v>Berubah</v>
      </c>
      <c r="D137" t="str">
        <f t="shared" si="18"/>
        <v>1.3.3.01.01.15.004</v>
      </c>
      <c r="E137" s="12" t="s">
        <v>743</v>
      </c>
      <c r="F137" s="4">
        <v>1</v>
      </c>
      <c r="G137" s="4">
        <v>3</v>
      </c>
      <c r="H137" s="4">
        <v>3</v>
      </c>
      <c r="I137" s="5" t="s">
        <v>10</v>
      </c>
      <c r="J137" s="5" t="s">
        <v>10</v>
      </c>
      <c r="K137" s="4">
        <v>15</v>
      </c>
      <c r="L137" s="5" t="s">
        <v>20</v>
      </c>
      <c r="M137" s="6" t="s">
        <v>23</v>
      </c>
      <c r="N137" s="6" t="str">
        <f t="shared" si="12"/>
        <v>Dst….</v>
      </c>
      <c r="O137" t="b">
        <f t="shared" si="15"/>
        <v>0</v>
      </c>
      <c r="Q137" s="12" t="s">
        <v>743</v>
      </c>
      <c r="R137" s="27">
        <v>3</v>
      </c>
      <c r="S137" s="28">
        <v>11</v>
      </c>
      <c r="T137" s="28">
        <v>1</v>
      </c>
      <c r="U137" s="28">
        <v>15</v>
      </c>
      <c r="V137" s="28">
        <v>4</v>
      </c>
      <c r="W137" s="11" t="s">
        <v>415</v>
      </c>
      <c r="X137" t="str">
        <f t="shared" si="14"/>
        <v>Lain-lain</v>
      </c>
      <c r="Y137" s="13" t="s">
        <v>413</v>
      </c>
      <c r="Z137" s="13">
        <v>96</v>
      </c>
    </row>
    <row r="138" spans="1:26" ht="26.25" customHeight="1" x14ac:dyDescent="0.25">
      <c r="A138" t="s">
        <v>1129</v>
      </c>
      <c r="B138" t="str">
        <f t="shared" si="16"/>
        <v>....</v>
      </c>
      <c r="C138" t="str">
        <f t="shared" si="17"/>
        <v>Bertambah</v>
      </c>
      <c r="D138" t="str">
        <f t="shared" si="18"/>
        <v>......</v>
      </c>
      <c r="E138" s="12" t="s">
        <v>744</v>
      </c>
      <c r="F138" s="4"/>
      <c r="G138" s="4"/>
      <c r="H138" s="4"/>
      <c r="I138" s="5"/>
      <c r="J138" s="5"/>
      <c r="K138" s="4"/>
      <c r="L138" s="5"/>
      <c r="M138" s="6"/>
      <c r="N138" s="6" t="str">
        <f t="shared" si="12"/>
        <v/>
      </c>
      <c r="O138" t="b">
        <f t="shared" si="15"/>
        <v>1</v>
      </c>
      <c r="Q138" s="12" t="s">
        <v>744</v>
      </c>
      <c r="R138" s="27"/>
      <c r="S138" s="28"/>
      <c r="T138" s="28"/>
      <c r="U138" s="28"/>
      <c r="V138" s="28"/>
      <c r="W138" s="11"/>
      <c r="X138" t="str">
        <f t="shared" si="14"/>
        <v/>
      </c>
      <c r="Y138" s="13"/>
      <c r="Z138" s="13"/>
    </row>
    <row r="139" spans="1:26" ht="26.25" customHeight="1" x14ac:dyDescent="0.25">
      <c r="A139" t="s">
        <v>1221</v>
      </c>
      <c r="B139" t="str">
        <f t="shared" si="16"/>
        <v>3.11.1.19. *</v>
      </c>
      <c r="C139" t="str">
        <f t="shared" si="17"/>
        <v>Berubah</v>
      </c>
      <c r="D139" t="str">
        <f t="shared" si="18"/>
        <v>1.3.3.01.01.16.</v>
      </c>
      <c r="E139" s="12" t="s">
        <v>745</v>
      </c>
      <c r="F139" s="4">
        <v>1</v>
      </c>
      <c r="G139" s="4">
        <v>3</v>
      </c>
      <c r="H139" s="4">
        <v>3</v>
      </c>
      <c r="I139" s="5" t="s">
        <v>10</v>
      </c>
      <c r="J139" s="5" t="s">
        <v>10</v>
      </c>
      <c r="K139" s="4">
        <v>16</v>
      </c>
      <c r="L139" s="5"/>
      <c r="M139" s="6" t="s">
        <v>141</v>
      </c>
      <c r="N139" s="6" t="str">
        <f t="shared" si="12"/>
        <v>BANGUNAN GEDUNG PERPUSTAKAAN</v>
      </c>
      <c r="O139" t="b">
        <f t="shared" si="15"/>
        <v>1</v>
      </c>
      <c r="Q139" s="12" t="s">
        <v>745</v>
      </c>
      <c r="R139" s="27">
        <v>3</v>
      </c>
      <c r="S139" s="28">
        <v>11</v>
      </c>
      <c r="T139" s="28">
        <v>1</v>
      </c>
      <c r="U139" s="28">
        <v>19</v>
      </c>
      <c r="V139" s="28" t="s">
        <v>470</v>
      </c>
      <c r="W139" s="11" t="s">
        <v>487</v>
      </c>
      <c r="X139" t="str">
        <f t="shared" si="14"/>
        <v>Bangunan Gedung Perpustakaan</v>
      </c>
      <c r="Y139" s="13" t="s">
        <v>413</v>
      </c>
      <c r="Z139" s="13">
        <v>115</v>
      </c>
    </row>
    <row r="140" spans="1:26" ht="26.25" customHeight="1" x14ac:dyDescent="0.25">
      <c r="A140" t="s">
        <v>1222</v>
      </c>
      <c r="B140" t="str">
        <f t="shared" si="16"/>
        <v>3.11.1.19.1</v>
      </c>
      <c r="C140" t="str">
        <f t="shared" si="17"/>
        <v>Berubah</v>
      </c>
      <c r="D140" t="str">
        <f t="shared" si="18"/>
        <v>1.3.3.01.01.16.001</v>
      </c>
      <c r="E140" s="12" t="s">
        <v>746</v>
      </c>
      <c r="F140" s="4">
        <v>1</v>
      </c>
      <c r="G140" s="4">
        <v>3</v>
      </c>
      <c r="H140" s="4">
        <v>3</v>
      </c>
      <c r="I140" s="5" t="s">
        <v>10</v>
      </c>
      <c r="J140" s="5" t="s">
        <v>10</v>
      </c>
      <c r="K140" s="4">
        <v>16</v>
      </c>
      <c r="L140" s="5" t="s">
        <v>14</v>
      </c>
      <c r="M140" s="6" t="s">
        <v>142</v>
      </c>
      <c r="N140" s="6" t="str">
        <f t="shared" si="12"/>
        <v>Bangunan Gedung Perpustakaan Permanen</v>
      </c>
      <c r="O140" t="b">
        <f t="shared" si="15"/>
        <v>1</v>
      </c>
      <c r="Q140" s="12" t="s">
        <v>746</v>
      </c>
      <c r="R140" s="27">
        <v>3</v>
      </c>
      <c r="S140" s="28">
        <v>11</v>
      </c>
      <c r="T140" s="28">
        <v>1</v>
      </c>
      <c r="U140" s="28">
        <v>19</v>
      </c>
      <c r="V140" s="28">
        <v>1</v>
      </c>
      <c r="W140" s="11" t="s">
        <v>142</v>
      </c>
      <c r="X140" t="str">
        <f t="shared" si="14"/>
        <v>Bangunan Gedung Perpustakaan Permanen</v>
      </c>
      <c r="Y140" s="13" t="s">
        <v>413</v>
      </c>
      <c r="Z140" s="13">
        <v>116</v>
      </c>
    </row>
    <row r="141" spans="1:26" ht="26.25" customHeight="1" x14ac:dyDescent="0.25">
      <c r="A141" t="s">
        <v>1223</v>
      </c>
      <c r="B141" t="str">
        <f t="shared" si="16"/>
        <v>3.11.1.19.2</v>
      </c>
      <c r="C141" t="str">
        <f t="shared" si="17"/>
        <v>Berubah</v>
      </c>
      <c r="D141" t="str">
        <f t="shared" si="18"/>
        <v>1.3.3.01.01.16.002</v>
      </c>
      <c r="E141" s="12" t="s">
        <v>747</v>
      </c>
      <c r="F141" s="4">
        <v>1</v>
      </c>
      <c r="G141" s="4">
        <v>3</v>
      </c>
      <c r="H141" s="4">
        <v>3</v>
      </c>
      <c r="I141" s="5" t="s">
        <v>10</v>
      </c>
      <c r="J141" s="5" t="s">
        <v>10</v>
      </c>
      <c r="K141" s="4">
        <v>16</v>
      </c>
      <c r="L141" s="5" t="s">
        <v>16</v>
      </c>
      <c r="M141" s="6" t="s">
        <v>143</v>
      </c>
      <c r="N141" s="6" t="str">
        <f t="shared" si="12"/>
        <v>Bangunan Gedung Perpustakaan Semi Permanen</v>
      </c>
      <c r="O141" t="b">
        <f t="shared" si="15"/>
        <v>1</v>
      </c>
      <c r="Q141" s="12" t="s">
        <v>747</v>
      </c>
      <c r="R141" s="27">
        <v>3</v>
      </c>
      <c r="S141" s="28">
        <v>11</v>
      </c>
      <c r="T141" s="28">
        <v>1</v>
      </c>
      <c r="U141" s="28">
        <v>19</v>
      </c>
      <c r="V141" s="28">
        <v>2</v>
      </c>
      <c r="W141" s="11" t="s">
        <v>143</v>
      </c>
      <c r="X141" t="str">
        <f t="shared" si="14"/>
        <v>Bangunan Gedung Perpustakaan Semi Permanen</v>
      </c>
      <c r="Y141" s="13" t="s">
        <v>413</v>
      </c>
      <c r="Z141" s="13">
        <v>117</v>
      </c>
    </row>
    <row r="142" spans="1:26" ht="26.25" customHeight="1" x14ac:dyDescent="0.25">
      <c r="A142" t="s">
        <v>1224</v>
      </c>
      <c r="B142" t="str">
        <f t="shared" si="16"/>
        <v>3.11.1.19.3</v>
      </c>
      <c r="C142" t="str">
        <f t="shared" si="17"/>
        <v>Berubah</v>
      </c>
      <c r="D142" t="str">
        <f t="shared" si="18"/>
        <v>1.3.3.01.01.16.003</v>
      </c>
      <c r="E142" s="12" t="s">
        <v>748</v>
      </c>
      <c r="F142" s="4">
        <v>1</v>
      </c>
      <c r="G142" s="4">
        <v>3</v>
      </c>
      <c r="H142" s="4">
        <v>3</v>
      </c>
      <c r="I142" s="5" t="s">
        <v>10</v>
      </c>
      <c r="J142" s="5" t="s">
        <v>10</v>
      </c>
      <c r="K142" s="4">
        <v>16</v>
      </c>
      <c r="L142" s="5" t="s">
        <v>18</v>
      </c>
      <c r="M142" s="6" t="s">
        <v>144</v>
      </c>
      <c r="N142" s="6" t="str">
        <f t="shared" si="12"/>
        <v>Bangunan Gedung Perpustakaan Darurat</v>
      </c>
      <c r="O142" t="b">
        <f t="shared" si="15"/>
        <v>0</v>
      </c>
      <c r="Q142" s="12" t="s">
        <v>748</v>
      </c>
      <c r="R142" s="27">
        <v>3</v>
      </c>
      <c r="S142" s="28">
        <v>11</v>
      </c>
      <c r="T142" s="28">
        <v>1</v>
      </c>
      <c r="U142" s="28">
        <v>19</v>
      </c>
      <c r="V142" s="28">
        <v>3</v>
      </c>
      <c r="W142" s="11" t="s">
        <v>488</v>
      </c>
      <c r="X142" t="str">
        <f t="shared" si="14"/>
        <v>Bangunan Gedung Musium Darurat</v>
      </c>
      <c r="Y142" s="13" t="s">
        <v>413</v>
      </c>
      <c r="Z142" s="13">
        <v>118</v>
      </c>
    </row>
    <row r="143" spans="1:26" ht="26.25" customHeight="1" x14ac:dyDescent="0.25">
      <c r="A143" t="s">
        <v>1225</v>
      </c>
      <c r="B143" t="str">
        <f t="shared" si="16"/>
        <v>3.11.1.19.4</v>
      </c>
      <c r="C143" t="str">
        <f t="shared" si="17"/>
        <v>Berubah</v>
      </c>
      <c r="D143" t="str">
        <f t="shared" si="18"/>
        <v>1.3.3.01.01.16.004</v>
      </c>
      <c r="E143" s="12" t="s">
        <v>749</v>
      </c>
      <c r="F143" s="4">
        <v>1</v>
      </c>
      <c r="G143" s="4">
        <v>3</v>
      </c>
      <c r="H143" s="4">
        <v>3</v>
      </c>
      <c r="I143" s="5" t="s">
        <v>10</v>
      </c>
      <c r="J143" s="5" t="s">
        <v>10</v>
      </c>
      <c r="K143" s="4">
        <v>16</v>
      </c>
      <c r="L143" s="5" t="s">
        <v>20</v>
      </c>
      <c r="M143" s="6" t="s">
        <v>23</v>
      </c>
      <c r="N143" s="6" t="str">
        <f t="shared" si="12"/>
        <v>Dst….</v>
      </c>
      <c r="O143" t="b">
        <f t="shared" si="15"/>
        <v>0</v>
      </c>
      <c r="Q143" s="12" t="s">
        <v>749</v>
      </c>
      <c r="R143" s="27">
        <v>3</v>
      </c>
      <c r="S143" s="28">
        <v>11</v>
      </c>
      <c r="T143" s="28">
        <v>1</v>
      </c>
      <c r="U143" s="28">
        <v>19</v>
      </c>
      <c r="V143" s="28">
        <v>4</v>
      </c>
      <c r="W143" s="11" t="s">
        <v>415</v>
      </c>
      <c r="X143" t="str">
        <f t="shared" si="14"/>
        <v>Lain-lain</v>
      </c>
      <c r="Y143" s="13" t="s">
        <v>413</v>
      </c>
      <c r="Z143" s="13">
        <v>119</v>
      </c>
    </row>
    <row r="144" spans="1:26" ht="26.25" customHeight="1" x14ac:dyDescent="0.25">
      <c r="A144" t="s">
        <v>1129</v>
      </c>
      <c r="B144" t="str">
        <f t="shared" si="16"/>
        <v>....</v>
      </c>
      <c r="C144" t="str">
        <f t="shared" si="17"/>
        <v>Bertambah</v>
      </c>
      <c r="D144" t="str">
        <f t="shared" si="18"/>
        <v>......</v>
      </c>
      <c r="E144" s="12" t="s">
        <v>750</v>
      </c>
      <c r="F144" s="4"/>
      <c r="G144" s="4"/>
      <c r="H144" s="4"/>
      <c r="I144" s="5"/>
      <c r="J144" s="5"/>
      <c r="K144" s="4"/>
      <c r="L144" s="5"/>
      <c r="M144" s="6"/>
      <c r="N144" s="6" t="str">
        <f t="shared" si="12"/>
        <v/>
      </c>
      <c r="O144" t="b">
        <f t="shared" si="15"/>
        <v>1</v>
      </c>
      <c r="Q144" s="12" t="s">
        <v>750</v>
      </c>
      <c r="R144" s="27"/>
      <c r="S144" s="28"/>
      <c r="T144" s="28"/>
      <c r="U144" s="28"/>
      <c r="V144" s="28"/>
      <c r="W144" s="11"/>
      <c r="X144" t="str">
        <f t="shared" si="14"/>
        <v/>
      </c>
      <c r="Y144" s="13"/>
      <c r="Z144" s="13"/>
    </row>
    <row r="145" spans="1:26" ht="26.25" customHeight="1" x14ac:dyDescent="0.25">
      <c r="A145" t="s">
        <v>1226</v>
      </c>
      <c r="B145" t="str">
        <f t="shared" si="16"/>
        <v>3.11.1.20. *</v>
      </c>
      <c r="C145" t="str">
        <f t="shared" si="17"/>
        <v>Berubah</v>
      </c>
      <c r="D145" t="str">
        <f t="shared" si="18"/>
        <v>1.3.3.01.01.17.</v>
      </c>
      <c r="E145" s="12" t="s">
        <v>751</v>
      </c>
      <c r="F145" s="4">
        <v>1</v>
      </c>
      <c r="G145" s="4">
        <v>3</v>
      </c>
      <c r="H145" s="4">
        <v>3</v>
      </c>
      <c r="I145" s="5" t="s">
        <v>10</v>
      </c>
      <c r="J145" s="5" t="s">
        <v>10</v>
      </c>
      <c r="K145" s="4">
        <v>17</v>
      </c>
      <c r="L145" s="5"/>
      <c r="M145" s="6" t="s">
        <v>145</v>
      </c>
      <c r="N145" s="6" t="str">
        <f t="shared" si="12"/>
        <v>BANGUNAN GEDUNG MUSIUM</v>
      </c>
      <c r="O145" t="b">
        <f t="shared" si="15"/>
        <v>0</v>
      </c>
      <c r="Q145" s="12" t="s">
        <v>751</v>
      </c>
      <c r="R145" s="27">
        <v>3</v>
      </c>
      <c r="S145" s="28">
        <v>11</v>
      </c>
      <c r="T145" s="28">
        <v>1</v>
      </c>
      <c r="U145" s="28">
        <v>20</v>
      </c>
      <c r="V145" s="28" t="s">
        <v>470</v>
      </c>
      <c r="W145" s="11" t="s">
        <v>489</v>
      </c>
      <c r="X145" t="str">
        <f t="shared" si="14"/>
        <v>Bangunan Gedung Museum</v>
      </c>
      <c r="Y145" s="13" t="s">
        <v>413</v>
      </c>
      <c r="Z145" s="13">
        <v>120</v>
      </c>
    </row>
    <row r="146" spans="1:26" ht="26.25" customHeight="1" x14ac:dyDescent="0.25">
      <c r="A146" t="s">
        <v>1227</v>
      </c>
      <c r="B146" t="str">
        <f t="shared" si="16"/>
        <v>3.11.1.20.1</v>
      </c>
      <c r="C146" t="str">
        <f t="shared" si="17"/>
        <v>Berubah</v>
      </c>
      <c r="D146" t="str">
        <f t="shared" si="18"/>
        <v>1.3.3.01.01.17.001</v>
      </c>
      <c r="E146" s="12" t="s">
        <v>752</v>
      </c>
      <c r="F146" s="4">
        <v>1</v>
      </c>
      <c r="G146" s="4">
        <v>3</v>
      </c>
      <c r="H146" s="4">
        <v>3</v>
      </c>
      <c r="I146" s="5" t="s">
        <v>10</v>
      </c>
      <c r="J146" s="5" t="s">
        <v>10</v>
      </c>
      <c r="K146" s="4">
        <v>17</v>
      </c>
      <c r="L146" s="5" t="s">
        <v>14</v>
      </c>
      <c r="M146" s="6" t="s">
        <v>146</v>
      </c>
      <c r="N146" s="6" t="str">
        <f t="shared" si="12"/>
        <v>Bangunan Gedung Musium Permanen</v>
      </c>
      <c r="O146" t="b">
        <f t="shared" si="15"/>
        <v>0</v>
      </c>
      <c r="Q146" s="12" t="s">
        <v>752</v>
      </c>
      <c r="R146" s="27">
        <v>3</v>
      </c>
      <c r="S146" s="28">
        <v>11</v>
      </c>
      <c r="T146" s="28">
        <v>1</v>
      </c>
      <c r="U146" s="28">
        <v>20</v>
      </c>
      <c r="V146" s="28">
        <v>1</v>
      </c>
      <c r="W146" s="11" t="s">
        <v>490</v>
      </c>
      <c r="X146" t="str">
        <f t="shared" si="14"/>
        <v>Bangunan Gedung Museum Permanen</v>
      </c>
      <c r="Y146" s="13" t="s">
        <v>413</v>
      </c>
      <c r="Z146" s="13">
        <v>121</v>
      </c>
    </row>
    <row r="147" spans="1:26" ht="26.25" customHeight="1" x14ac:dyDescent="0.25">
      <c r="A147" t="s">
        <v>1228</v>
      </c>
      <c r="B147" t="str">
        <f t="shared" si="16"/>
        <v>3.11.1.20.2</v>
      </c>
      <c r="C147" t="str">
        <f t="shared" si="17"/>
        <v>Berubah</v>
      </c>
      <c r="D147" t="str">
        <f t="shared" si="18"/>
        <v>1.3.3.01.01.17.002</v>
      </c>
      <c r="E147" s="12" t="s">
        <v>753</v>
      </c>
      <c r="F147" s="4">
        <v>1</v>
      </c>
      <c r="G147" s="4">
        <v>3</v>
      </c>
      <c r="H147" s="4">
        <v>3</v>
      </c>
      <c r="I147" s="5" t="s">
        <v>10</v>
      </c>
      <c r="J147" s="5" t="s">
        <v>10</v>
      </c>
      <c r="K147" s="4">
        <v>17</v>
      </c>
      <c r="L147" s="5" t="s">
        <v>16</v>
      </c>
      <c r="M147" s="6" t="s">
        <v>147</v>
      </c>
      <c r="N147" s="6" t="str">
        <f t="shared" si="12"/>
        <v>Bangunan Gedung Musium Semi Permanen</v>
      </c>
      <c r="O147" t="b">
        <f t="shared" si="15"/>
        <v>0</v>
      </c>
      <c r="Q147" s="12" t="s">
        <v>753</v>
      </c>
      <c r="R147" s="27">
        <v>3</v>
      </c>
      <c r="S147" s="28">
        <v>11</v>
      </c>
      <c r="T147" s="28">
        <v>1</v>
      </c>
      <c r="U147" s="28">
        <v>20</v>
      </c>
      <c r="V147" s="28">
        <v>2</v>
      </c>
      <c r="W147" s="11" t="s">
        <v>491</v>
      </c>
      <c r="X147" t="str">
        <f t="shared" si="14"/>
        <v>Bangunan Gedung Museum Semi Permanen</v>
      </c>
      <c r="Y147" s="13" t="s">
        <v>413</v>
      </c>
      <c r="Z147" s="13">
        <v>122</v>
      </c>
    </row>
    <row r="148" spans="1:26" ht="26.25" customHeight="1" x14ac:dyDescent="0.25">
      <c r="A148" t="s">
        <v>1229</v>
      </c>
      <c r="B148" t="str">
        <f t="shared" si="16"/>
        <v>3.11.1.20.3</v>
      </c>
      <c r="C148" t="str">
        <f t="shared" si="17"/>
        <v>Berubah</v>
      </c>
      <c r="D148" t="str">
        <f t="shared" si="18"/>
        <v>1.3.3.01.01.17.003</v>
      </c>
      <c r="E148" s="12" t="s">
        <v>754</v>
      </c>
      <c r="F148" s="4">
        <v>1</v>
      </c>
      <c r="G148" s="4">
        <v>3</v>
      </c>
      <c r="H148" s="4">
        <v>3</v>
      </c>
      <c r="I148" s="5" t="s">
        <v>10</v>
      </c>
      <c r="J148" s="5" t="s">
        <v>10</v>
      </c>
      <c r="K148" s="4">
        <v>17</v>
      </c>
      <c r="L148" s="5" t="s">
        <v>18</v>
      </c>
      <c r="M148" s="6" t="s">
        <v>148</v>
      </c>
      <c r="N148" s="6" t="str">
        <f t="shared" si="12"/>
        <v>Bangunan Gedung Musium Darurat</v>
      </c>
      <c r="O148" t="b">
        <f t="shared" si="15"/>
        <v>0</v>
      </c>
      <c r="Q148" s="12" t="s">
        <v>754</v>
      </c>
      <c r="R148" s="27">
        <v>3</v>
      </c>
      <c r="S148" s="28">
        <v>11</v>
      </c>
      <c r="T148" s="28">
        <v>1</v>
      </c>
      <c r="U148" s="28">
        <v>20</v>
      </c>
      <c r="V148" s="28">
        <v>3</v>
      </c>
      <c r="W148" s="11" t="s">
        <v>492</v>
      </c>
      <c r="X148" t="str">
        <f t="shared" si="14"/>
        <v>Bangunan Gedung Museum Darurat</v>
      </c>
      <c r="Y148" s="13" t="s">
        <v>413</v>
      </c>
      <c r="Z148" s="13">
        <v>123</v>
      </c>
    </row>
    <row r="149" spans="1:26" ht="26.25" customHeight="1" x14ac:dyDescent="0.25">
      <c r="A149" t="s">
        <v>1230</v>
      </c>
      <c r="B149" t="str">
        <f t="shared" si="16"/>
        <v>3.11.1.20.4</v>
      </c>
      <c r="C149" t="str">
        <f t="shared" si="17"/>
        <v>Berubah</v>
      </c>
      <c r="D149" t="str">
        <f t="shared" si="18"/>
        <v>1.3.3.01.01.17.004</v>
      </c>
      <c r="E149" s="12" t="s">
        <v>755</v>
      </c>
      <c r="F149" s="4">
        <v>1</v>
      </c>
      <c r="G149" s="4">
        <v>3</v>
      </c>
      <c r="H149" s="4">
        <v>3</v>
      </c>
      <c r="I149" s="5" t="s">
        <v>10</v>
      </c>
      <c r="J149" s="5" t="s">
        <v>10</v>
      </c>
      <c r="K149" s="4">
        <v>17</v>
      </c>
      <c r="L149" s="5" t="s">
        <v>20</v>
      </c>
      <c r="M149" s="6" t="s">
        <v>23</v>
      </c>
      <c r="N149" s="6" t="str">
        <f t="shared" si="12"/>
        <v>Dst….</v>
      </c>
      <c r="O149" t="b">
        <f t="shared" si="15"/>
        <v>0</v>
      </c>
      <c r="Q149" s="12" t="s">
        <v>755</v>
      </c>
      <c r="R149" s="27">
        <v>3</v>
      </c>
      <c r="S149" s="28">
        <v>11</v>
      </c>
      <c r="T149" s="28">
        <v>1</v>
      </c>
      <c r="U149" s="28">
        <v>20</v>
      </c>
      <c r="V149" s="28">
        <v>4</v>
      </c>
      <c r="W149" s="11" t="s">
        <v>493</v>
      </c>
      <c r="X149" t="str">
        <f t="shared" si="14"/>
        <v>Lain-lain</v>
      </c>
      <c r="Y149" s="13" t="s">
        <v>413</v>
      </c>
      <c r="Z149" s="13">
        <v>124</v>
      </c>
    </row>
    <row r="150" spans="1:26" ht="26.25" customHeight="1" x14ac:dyDescent="0.25">
      <c r="A150" t="s">
        <v>1129</v>
      </c>
      <c r="B150" t="str">
        <f t="shared" si="16"/>
        <v>....</v>
      </c>
      <c r="C150" t="str">
        <f t="shared" si="17"/>
        <v>Bertambah</v>
      </c>
      <c r="D150" t="str">
        <f t="shared" si="18"/>
        <v>......</v>
      </c>
      <c r="E150" s="12" t="s">
        <v>756</v>
      </c>
      <c r="F150" s="4"/>
      <c r="G150" s="4"/>
      <c r="H150" s="4"/>
      <c r="I150" s="5"/>
      <c r="J150" s="5"/>
      <c r="K150" s="4"/>
      <c r="L150" s="5"/>
      <c r="M150" s="6"/>
      <c r="N150" s="6" t="str">
        <f t="shared" si="12"/>
        <v/>
      </c>
      <c r="O150" t="b">
        <f t="shared" si="15"/>
        <v>1</v>
      </c>
      <c r="Q150" s="12" t="s">
        <v>756</v>
      </c>
      <c r="R150" s="27"/>
      <c r="S150" s="28"/>
      <c r="T150" s="28"/>
      <c r="U150" s="28"/>
      <c r="V150" s="28"/>
      <c r="W150" s="11"/>
      <c r="X150" t="str">
        <f t="shared" si="14"/>
        <v/>
      </c>
      <c r="Y150" s="13"/>
      <c r="Z150" s="13"/>
    </row>
    <row r="151" spans="1:26" ht="26.25" customHeight="1" x14ac:dyDescent="0.25">
      <c r="A151" t="s">
        <v>1231</v>
      </c>
      <c r="B151" t="str">
        <f t="shared" si="16"/>
        <v>3.11.1.21. *</v>
      </c>
      <c r="C151" t="str">
        <f t="shared" si="17"/>
        <v>Berubah</v>
      </c>
      <c r="D151" t="str">
        <f t="shared" si="18"/>
        <v>1.3.3.01.01.18.</v>
      </c>
      <c r="E151" s="12" t="s">
        <v>757</v>
      </c>
      <c r="F151" s="4">
        <v>1</v>
      </c>
      <c r="G151" s="4">
        <v>3</v>
      </c>
      <c r="H151" s="4">
        <v>3</v>
      </c>
      <c r="I151" s="5" t="s">
        <v>10</v>
      </c>
      <c r="J151" s="5" t="s">
        <v>10</v>
      </c>
      <c r="K151" s="4">
        <v>18</v>
      </c>
      <c r="L151" s="5"/>
      <c r="M151" s="6" t="s">
        <v>149</v>
      </c>
      <c r="N151" s="6" t="str">
        <f t="shared" si="12"/>
        <v>BANGUNAN GEDUNG TERMINAL/PELABUHAN/BANDARA</v>
      </c>
      <c r="O151" t="b">
        <f t="shared" si="15"/>
        <v>0</v>
      </c>
      <c r="Q151" s="12" t="s">
        <v>757</v>
      </c>
      <c r="R151" s="27">
        <v>3</v>
      </c>
      <c r="S151" s="28">
        <v>11</v>
      </c>
      <c r="T151" s="28">
        <v>1</v>
      </c>
      <c r="U151" s="28">
        <v>21</v>
      </c>
      <c r="V151" s="28" t="s">
        <v>470</v>
      </c>
      <c r="W151" s="11" t="s">
        <v>494</v>
      </c>
      <c r="X151" t="str">
        <f t="shared" si="14"/>
        <v>Bangunan Gedung Terminal/Pelabuhan/Bandar</v>
      </c>
      <c r="Y151" s="13" t="s">
        <v>413</v>
      </c>
      <c r="Z151" s="13">
        <v>125</v>
      </c>
    </row>
    <row r="152" spans="1:26" ht="26.25" customHeight="1" x14ac:dyDescent="0.25">
      <c r="A152" t="s">
        <v>1232</v>
      </c>
      <c r="B152" t="str">
        <f t="shared" si="16"/>
        <v>3.11.1.21.1</v>
      </c>
      <c r="C152" t="str">
        <f t="shared" si="17"/>
        <v>Berubah</v>
      </c>
      <c r="D152" t="str">
        <f t="shared" si="18"/>
        <v>1.3.3.01.01.18.001</v>
      </c>
      <c r="E152" s="12" t="s">
        <v>758</v>
      </c>
      <c r="F152" s="4">
        <v>1</v>
      </c>
      <c r="G152" s="4">
        <v>3</v>
      </c>
      <c r="H152" s="4">
        <v>3</v>
      </c>
      <c r="I152" s="5" t="s">
        <v>10</v>
      </c>
      <c r="J152" s="5" t="s">
        <v>10</v>
      </c>
      <c r="K152" s="4">
        <v>18</v>
      </c>
      <c r="L152" s="5" t="s">
        <v>14</v>
      </c>
      <c r="M152" s="6" t="s">
        <v>150</v>
      </c>
      <c r="N152" s="6" t="str">
        <f t="shared" si="12"/>
        <v>Bangunan Gedung Terminal/Pelabuhan/Bandara Permanen</v>
      </c>
      <c r="O152" t="b">
        <f t="shared" si="15"/>
        <v>0</v>
      </c>
      <c r="Q152" s="12" t="s">
        <v>758</v>
      </c>
      <c r="R152" s="27">
        <v>3</v>
      </c>
      <c r="S152" s="28">
        <v>11</v>
      </c>
      <c r="T152" s="28">
        <v>1</v>
      </c>
      <c r="U152" s="28">
        <v>21</v>
      </c>
      <c r="V152" s="28">
        <v>1</v>
      </c>
      <c r="W152" s="11" t="s">
        <v>495</v>
      </c>
      <c r="X152" t="str">
        <f t="shared" si="14"/>
        <v>Bangunan Gedung Terminal/Pelabuhan/ Bandar P</v>
      </c>
      <c r="Y152" s="13" t="s">
        <v>413</v>
      </c>
      <c r="Z152" s="13">
        <v>126</v>
      </c>
    </row>
    <row r="153" spans="1:26" ht="26.25" customHeight="1" x14ac:dyDescent="0.25">
      <c r="A153" t="s">
        <v>1233</v>
      </c>
      <c r="B153" t="str">
        <f t="shared" si="16"/>
        <v>3.11.1.21.2</v>
      </c>
      <c r="C153" t="str">
        <f t="shared" si="17"/>
        <v>Berubah</v>
      </c>
      <c r="D153" t="str">
        <f t="shared" si="18"/>
        <v>1.3.3.01.01.18.002</v>
      </c>
      <c r="E153" s="12" t="s">
        <v>759</v>
      </c>
      <c r="F153" s="4">
        <v>1</v>
      </c>
      <c r="G153" s="4">
        <v>3</v>
      </c>
      <c r="H153" s="4">
        <v>3</v>
      </c>
      <c r="I153" s="5" t="s">
        <v>10</v>
      </c>
      <c r="J153" s="5" t="s">
        <v>10</v>
      </c>
      <c r="K153" s="4">
        <v>18</v>
      </c>
      <c r="L153" s="5" t="s">
        <v>16</v>
      </c>
      <c r="M153" s="6" t="s">
        <v>151</v>
      </c>
      <c r="N153" s="6" t="str">
        <f t="shared" si="12"/>
        <v>Bangunan Gedung Terminal/Pelabuhan/Bandara Semi Permanen</v>
      </c>
      <c r="O153" t="b">
        <f t="shared" si="15"/>
        <v>0</v>
      </c>
      <c r="Q153" s="12" t="s">
        <v>759</v>
      </c>
      <c r="R153" s="27">
        <v>3</v>
      </c>
      <c r="S153" s="28">
        <v>11</v>
      </c>
      <c r="T153" s="28">
        <v>1</v>
      </c>
      <c r="U153" s="28">
        <v>21</v>
      </c>
      <c r="V153" s="28">
        <v>2</v>
      </c>
      <c r="W153" s="11" t="s">
        <v>496</v>
      </c>
      <c r="X153" t="str">
        <f t="shared" si="14"/>
        <v>Bangunan Gedung Terminal/Pelabuhan/ Bandar SP</v>
      </c>
      <c r="Y153" s="13" t="s">
        <v>413</v>
      </c>
      <c r="Z153" s="13">
        <v>127</v>
      </c>
    </row>
    <row r="154" spans="1:26" ht="26.25" customHeight="1" x14ac:dyDescent="0.25">
      <c r="A154" t="s">
        <v>1234</v>
      </c>
      <c r="B154" t="str">
        <f t="shared" si="16"/>
        <v>3.11.1.21.3</v>
      </c>
      <c r="C154" t="str">
        <f t="shared" si="17"/>
        <v>Berubah</v>
      </c>
      <c r="D154" t="str">
        <f t="shared" si="18"/>
        <v>1.3.3.01.01.18.003</v>
      </c>
      <c r="E154" s="12" t="s">
        <v>760</v>
      </c>
      <c r="F154" s="4">
        <v>1</v>
      </c>
      <c r="G154" s="4">
        <v>3</v>
      </c>
      <c r="H154" s="4">
        <v>3</v>
      </c>
      <c r="I154" s="5" t="s">
        <v>10</v>
      </c>
      <c r="J154" s="5" t="s">
        <v>10</v>
      </c>
      <c r="K154" s="4">
        <v>18</v>
      </c>
      <c r="L154" s="5" t="s">
        <v>18</v>
      </c>
      <c r="M154" s="6" t="s">
        <v>152</v>
      </c>
      <c r="N154" s="6" t="str">
        <f t="shared" si="12"/>
        <v>Bangunan Gedung Terminal/Pelabuhan/Bandara Darurat</v>
      </c>
      <c r="O154" t="b">
        <f t="shared" si="15"/>
        <v>0</v>
      </c>
      <c r="Q154" s="12" t="s">
        <v>760</v>
      </c>
      <c r="R154" s="27">
        <v>3</v>
      </c>
      <c r="S154" s="28">
        <v>11</v>
      </c>
      <c r="T154" s="28">
        <v>1</v>
      </c>
      <c r="U154" s="28">
        <v>21</v>
      </c>
      <c r="V154" s="28">
        <v>3</v>
      </c>
      <c r="W154" s="11" t="s">
        <v>497</v>
      </c>
      <c r="X154" t="str">
        <f t="shared" si="14"/>
        <v>Bangunan Gedung Terminal/Pelabuhan/Badar Darurat</v>
      </c>
      <c r="Y154" s="13" t="s">
        <v>413</v>
      </c>
      <c r="Z154" s="13">
        <v>128</v>
      </c>
    </row>
    <row r="155" spans="1:26" ht="26.25" customHeight="1" x14ac:dyDescent="0.25">
      <c r="A155" t="s">
        <v>1129</v>
      </c>
      <c r="B155" t="str">
        <f t="shared" si="16"/>
        <v>....</v>
      </c>
      <c r="C155" t="str">
        <f t="shared" si="17"/>
        <v>Bertambah</v>
      </c>
      <c r="D155" t="str">
        <f t="shared" si="18"/>
        <v>1.3.3.01.01.18.004</v>
      </c>
      <c r="E155" s="12" t="s">
        <v>761</v>
      </c>
      <c r="F155" s="17">
        <v>1</v>
      </c>
      <c r="G155" s="17">
        <v>3</v>
      </c>
      <c r="H155" s="17">
        <v>3</v>
      </c>
      <c r="I155" s="18" t="s">
        <v>10</v>
      </c>
      <c r="J155" s="18" t="s">
        <v>10</v>
      </c>
      <c r="K155" s="17">
        <v>18</v>
      </c>
      <c r="L155" s="18" t="s">
        <v>20</v>
      </c>
      <c r="M155" s="19" t="s">
        <v>153</v>
      </c>
      <c r="N155" s="19" t="str">
        <f t="shared" si="12"/>
        <v>Bangunan Halte/Shelter</v>
      </c>
      <c r="O155" t="b">
        <f t="shared" si="15"/>
        <v>0</v>
      </c>
      <c r="Q155" s="12" t="s">
        <v>761</v>
      </c>
      <c r="R155" s="29"/>
      <c r="S155" s="29"/>
      <c r="T155" s="29"/>
      <c r="U155" s="29"/>
      <c r="V155" s="29"/>
      <c r="W155" s="10"/>
      <c r="X155" t="str">
        <f t="shared" si="14"/>
        <v/>
      </c>
      <c r="Y155" s="10"/>
      <c r="Z155" s="10"/>
    </row>
    <row r="156" spans="1:26" ht="26.25" customHeight="1" x14ac:dyDescent="0.25">
      <c r="A156" t="s">
        <v>1235</v>
      </c>
      <c r="B156" t="str">
        <f t="shared" si="16"/>
        <v>3.11.1.21.4</v>
      </c>
      <c r="C156" t="str">
        <f t="shared" si="17"/>
        <v>Berubah</v>
      </c>
      <c r="D156" t="str">
        <f t="shared" si="18"/>
        <v>1.3.3.01.01.18.005</v>
      </c>
      <c r="E156" s="12" t="s">
        <v>762</v>
      </c>
      <c r="F156" s="4">
        <v>1</v>
      </c>
      <c r="G156" s="4">
        <v>3</v>
      </c>
      <c r="H156" s="4">
        <v>3</v>
      </c>
      <c r="I156" s="5" t="s">
        <v>10</v>
      </c>
      <c r="J156" s="5" t="s">
        <v>10</v>
      </c>
      <c r="K156" s="4">
        <v>18</v>
      </c>
      <c r="L156" s="5" t="s">
        <v>22</v>
      </c>
      <c r="M156" s="6" t="s">
        <v>23</v>
      </c>
      <c r="N156" s="6" t="str">
        <f t="shared" si="12"/>
        <v>Dst….</v>
      </c>
      <c r="O156" t="b">
        <f t="shared" si="15"/>
        <v>0</v>
      </c>
      <c r="Q156" s="12" t="s">
        <v>762</v>
      </c>
      <c r="R156" s="27">
        <v>3</v>
      </c>
      <c r="S156" s="28">
        <v>11</v>
      </c>
      <c r="T156" s="28">
        <v>1</v>
      </c>
      <c r="U156" s="28">
        <v>21</v>
      </c>
      <c r="V156" s="28">
        <v>4</v>
      </c>
      <c r="W156" s="11" t="s">
        <v>415</v>
      </c>
      <c r="X156" t="str">
        <f t="shared" si="14"/>
        <v>Lain-lain</v>
      </c>
      <c r="Y156" s="13" t="s">
        <v>413</v>
      </c>
      <c r="Z156" s="13">
        <v>129</v>
      </c>
    </row>
    <row r="157" spans="1:26" ht="26.25" customHeight="1" x14ac:dyDescent="0.25">
      <c r="A157" t="s">
        <v>1236</v>
      </c>
      <c r="B157" t="str">
        <f t="shared" si="16"/>
        <v>3.11.1.22.*</v>
      </c>
      <c r="C157" t="str">
        <f t="shared" si="17"/>
        <v>Berubah</v>
      </c>
      <c r="D157" t="str">
        <f t="shared" si="18"/>
        <v>1.3.3.01.01.19.</v>
      </c>
      <c r="E157" s="12" t="s">
        <v>763</v>
      </c>
      <c r="F157" s="4">
        <v>1</v>
      </c>
      <c r="G157" s="4">
        <v>3</v>
      </c>
      <c r="H157" s="4">
        <v>3</v>
      </c>
      <c r="I157" s="5" t="s">
        <v>10</v>
      </c>
      <c r="J157" s="5" t="s">
        <v>10</v>
      </c>
      <c r="K157" s="4">
        <v>19</v>
      </c>
      <c r="L157" s="5"/>
      <c r="M157" s="6" t="s">
        <v>154</v>
      </c>
      <c r="N157" s="6" t="str">
        <f t="shared" ref="N157:N177" si="19">TRIM(M157)</f>
        <v>BANGUNAN PENGUJIAN KELAIKAN</v>
      </c>
      <c r="O157" t="b">
        <f t="shared" ref="O157:O177" si="20">M157=W157</f>
        <v>1</v>
      </c>
      <c r="Q157" s="12" t="s">
        <v>763</v>
      </c>
      <c r="R157" s="27">
        <v>3</v>
      </c>
      <c r="S157" s="28">
        <v>11</v>
      </c>
      <c r="T157" s="28">
        <v>1</v>
      </c>
      <c r="U157" s="28">
        <v>22</v>
      </c>
      <c r="V157" s="28" t="s">
        <v>411</v>
      </c>
      <c r="W157" s="11" t="s">
        <v>498</v>
      </c>
      <c r="X157" t="str">
        <f t="shared" ref="X157:X177" si="21">TRIM(W157)</f>
        <v>Bangunan Pengujian Kelaikan</v>
      </c>
      <c r="Y157" s="13" t="s">
        <v>413</v>
      </c>
      <c r="Z157" s="13">
        <v>130</v>
      </c>
    </row>
    <row r="158" spans="1:26" ht="26.25" customHeight="1" x14ac:dyDescent="0.25">
      <c r="A158" t="s">
        <v>1237</v>
      </c>
      <c r="B158" t="str">
        <f t="shared" si="16"/>
        <v>3.11.1.22.1</v>
      </c>
      <c r="C158" t="str">
        <f t="shared" si="17"/>
        <v>Berubah</v>
      </c>
      <c r="D158" t="str">
        <f t="shared" si="18"/>
        <v>1.3.3.01.01.19.001</v>
      </c>
      <c r="E158" s="12" t="s">
        <v>764</v>
      </c>
      <c r="F158" s="4">
        <v>1</v>
      </c>
      <c r="G158" s="4">
        <v>3</v>
      </c>
      <c r="H158" s="4">
        <v>3</v>
      </c>
      <c r="I158" s="5" t="s">
        <v>10</v>
      </c>
      <c r="J158" s="5" t="s">
        <v>10</v>
      </c>
      <c r="K158" s="4">
        <v>19</v>
      </c>
      <c r="L158" s="5" t="s">
        <v>14</v>
      </c>
      <c r="M158" s="6" t="s">
        <v>155</v>
      </c>
      <c r="N158" s="6" t="str">
        <f t="shared" si="19"/>
        <v>Bangunan Pengujian Kelaikan Permanen</v>
      </c>
      <c r="O158" t="b">
        <f t="shared" si="20"/>
        <v>1</v>
      </c>
      <c r="Q158" s="12" t="s">
        <v>764</v>
      </c>
      <c r="R158" s="27">
        <v>3</v>
      </c>
      <c r="S158" s="28">
        <v>11</v>
      </c>
      <c r="T158" s="28">
        <v>1</v>
      </c>
      <c r="U158" s="28">
        <v>22</v>
      </c>
      <c r="V158" s="28">
        <v>1</v>
      </c>
      <c r="W158" s="11" t="s">
        <v>155</v>
      </c>
      <c r="X158" t="str">
        <f t="shared" si="21"/>
        <v>Bangunan Pengujian Kelaikan Permanen</v>
      </c>
      <c r="Y158" s="13" t="s">
        <v>413</v>
      </c>
      <c r="Z158" s="13">
        <v>131</v>
      </c>
    </row>
    <row r="159" spans="1:26" ht="26.25" customHeight="1" x14ac:dyDescent="0.25">
      <c r="A159" t="s">
        <v>1238</v>
      </c>
      <c r="B159" t="str">
        <f t="shared" si="16"/>
        <v>3.11.1.22.2</v>
      </c>
      <c r="C159" t="str">
        <f t="shared" si="17"/>
        <v>Berubah</v>
      </c>
      <c r="D159" t="str">
        <f t="shared" si="18"/>
        <v>1.3.3.01.01.19.002</v>
      </c>
      <c r="E159" s="12" t="s">
        <v>765</v>
      </c>
      <c r="F159" s="4">
        <v>1</v>
      </c>
      <c r="G159" s="4">
        <v>3</v>
      </c>
      <c r="H159" s="4">
        <v>3</v>
      </c>
      <c r="I159" s="5" t="s">
        <v>10</v>
      </c>
      <c r="J159" s="5" t="s">
        <v>10</v>
      </c>
      <c r="K159" s="4">
        <v>19</v>
      </c>
      <c r="L159" s="5" t="s">
        <v>16</v>
      </c>
      <c r="M159" s="6" t="s">
        <v>156</v>
      </c>
      <c r="N159" s="6" t="str">
        <f t="shared" si="19"/>
        <v>Bangunan Pengujian Kelaikan Semi Permanen</v>
      </c>
      <c r="O159" t="b">
        <f t="shared" si="20"/>
        <v>0</v>
      </c>
      <c r="Q159" s="12" t="s">
        <v>765</v>
      </c>
      <c r="R159" s="27">
        <v>3</v>
      </c>
      <c r="S159" s="28">
        <v>11</v>
      </c>
      <c r="T159" s="28">
        <v>1</v>
      </c>
      <c r="U159" s="28">
        <v>22</v>
      </c>
      <c r="V159" s="28">
        <v>2</v>
      </c>
      <c r="W159" s="11" t="s">
        <v>499</v>
      </c>
      <c r="X159" t="str">
        <f t="shared" si="21"/>
        <v>Bangunan Pengujian Kelaikan Semi Permenen</v>
      </c>
      <c r="Y159" s="13" t="s">
        <v>413</v>
      </c>
      <c r="Z159" s="13">
        <v>132</v>
      </c>
    </row>
    <row r="160" spans="1:26" ht="26.25" customHeight="1" x14ac:dyDescent="0.25">
      <c r="A160" t="s">
        <v>1239</v>
      </c>
      <c r="B160" t="str">
        <f t="shared" si="16"/>
        <v>3.11.1.22.3</v>
      </c>
      <c r="C160" t="str">
        <f t="shared" si="17"/>
        <v>Berubah</v>
      </c>
      <c r="D160" t="str">
        <f t="shared" si="18"/>
        <v>1.3.3.01.01.19.003</v>
      </c>
      <c r="E160" s="12" t="s">
        <v>766</v>
      </c>
      <c r="F160" s="4">
        <v>1</v>
      </c>
      <c r="G160" s="4">
        <v>3</v>
      </c>
      <c r="H160" s="4">
        <v>3</v>
      </c>
      <c r="I160" s="5" t="s">
        <v>10</v>
      </c>
      <c r="J160" s="5" t="s">
        <v>10</v>
      </c>
      <c r="K160" s="4">
        <v>19</v>
      </c>
      <c r="L160" s="5" t="s">
        <v>18</v>
      </c>
      <c r="M160" s="6" t="s">
        <v>157</v>
      </c>
      <c r="N160" s="6" t="str">
        <f t="shared" si="19"/>
        <v>Bangunan Pengujian Kelaikan Darurat</v>
      </c>
      <c r="O160" t="b">
        <f t="shared" si="20"/>
        <v>1</v>
      </c>
      <c r="Q160" s="12" t="s">
        <v>766</v>
      </c>
      <c r="R160" s="27">
        <v>3</v>
      </c>
      <c r="S160" s="28">
        <v>11</v>
      </c>
      <c r="T160" s="28">
        <v>1</v>
      </c>
      <c r="U160" s="28">
        <v>22</v>
      </c>
      <c r="V160" s="28">
        <v>3</v>
      </c>
      <c r="W160" s="11" t="s">
        <v>157</v>
      </c>
      <c r="X160" t="str">
        <f t="shared" si="21"/>
        <v>Bangunan Pengujian Kelaikan Darurat</v>
      </c>
      <c r="Y160" s="13" t="s">
        <v>413</v>
      </c>
      <c r="Z160" s="13">
        <v>133</v>
      </c>
    </row>
    <row r="161" spans="1:26" ht="26.25" customHeight="1" x14ac:dyDescent="0.25">
      <c r="A161" t="s">
        <v>1240</v>
      </c>
      <c r="B161" t="str">
        <f t="shared" si="16"/>
        <v>3.11.1.22.4</v>
      </c>
      <c r="C161" t="str">
        <f t="shared" si="17"/>
        <v>Berubah</v>
      </c>
      <c r="D161" t="str">
        <f t="shared" si="18"/>
        <v>1.3.3.01.01.19.004</v>
      </c>
      <c r="E161" s="12" t="s">
        <v>767</v>
      </c>
      <c r="F161" s="4">
        <v>1</v>
      </c>
      <c r="G161" s="4">
        <v>3</v>
      </c>
      <c r="H161" s="4">
        <v>3</v>
      </c>
      <c r="I161" s="5" t="s">
        <v>10</v>
      </c>
      <c r="J161" s="5" t="s">
        <v>10</v>
      </c>
      <c r="K161" s="4">
        <v>19</v>
      </c>
      <c r="L161" s="5" t="s">
        <v>20</v>
      </c>
      <c r="M161" s="6" t="s">
        <v>23</v>
      </c>
      <c r="N161" s="6" t="str">
        <f t="shared" si="19"/>
        <v>Dst….</v>
      </c>
      <c r="O161" t="b">
        <f t="shared" si="20"/>
        <v>0</v>
      </c>
      <c r="Q161" s="12" t="s">
        <v>767</v>
      </c>
      <c r="R161" s="27">
        <v>3</v>
      </c>
      <c r="S161" s="28">
        <v>11</v>
      </c>
      <c r="T161" s="28">
        <v>1</v>
      </c>
      <c r="U161" s="28">
        <v>22</v>
      </c>
      <c r="V161" s="28">
        <v>4</v>
      </c>
      <c r="W161" s="11" t="s">
        <v>415</v>
      </c>
      <c r="X161" t="str">
        <f t="shared" si="21"/>
        <v>Lain-lain</v>
      </c>
      <c r="Y161" s="13" t="s">
        <v>413</v>
      </c>
      <c r="Z161" s="13">
        <v>134</v>
      </c>
    </row>
    <row r="162" spans="1:26" ht="26.25" customHeight="1" x14ac:dyDescent="0.25">
      <c r="A162" t="s">
        <v>1129</v>
      </c>
      <c r="B162" t="str">
        <f t="shared" si="16"/>
        <v>....</v>
      </c>
      <c r="C162" t="str">
        <f t="shared" si="17"/>
        <v>Bertambah</v>
      </c>
      <c r="D162" t="str">
        <f t="shared" si="18"/>
        <v>......</v>
      </c>
      <c r="E162" s="12" t="s">
        <v>768</v>
      </c>
      <c r="F162" s="4"/>
      <c r="G162" s="4"/>
      <c r="H162" s="4"/>
      <c r="I162" s="5"/>
      <c r="J162" s="5"/>
      <c r="K162" s="4"/>
      <c r="L162" s="5"/>
      <c r="M162" s="6"/>
      <c r="N162" s="6" t="str">
        <f t="shared" si="19"/>
        <v/>
      </c>
      <c r="O162" t="b">
        <f t="shared" si="20"/>
        <v>1</v>
      </c>
      <c r="Q162" s="12" t="s">
        <v>768</v>
      </c>
      <c r="R162" s="27"/>
      <c r="S162" s="28"/>
      <c r="T162" s="28"/>
      <c r="U162" s="28"/>
      <c r="V162" s="28"/>
      <c r="W162" s="11"/>
      <c r="X162" t="str">
        <f t="shared" si="21"/>
        <v/>
      </c>
      <c r="Y162" s="13"/>
      <c r="Z162" s="13"/>
    </row>
    <row r="163" spans="1:26" ht="26.25" customHeight="1" x14ac:dyDescent="0.25">
      <c r="A163" t="s">
        <v>1241</v>
      </c>
      <c r="B163" t="str">
        <f t="shared" si="16"/>
        <v>3.11.1.23.*</v>
      </c>
      <c r="C163" t="str">
        <f t="shared" si="17"/>
        <v>Berubah</v>
      </c>
      <c r="D163" t="str">
        <f t="shared" si="18"/>
        <v>1.3.3.01.01.20.</v>
      </c>
      <c r="E163" s="12" t="s">
        <v>769</v>
      </c>
      <c r="F163" s="4">
        <v>1</v>
      </c>
      <c r="G163" s="4">
        <v>3</v>
      </c>
      <c r="H163" s="4">
        <v>3</v>
      </c>
      <c r="I163" s="5" t="s">
        <v>10</v>
      </c>
      <c r="J163" s="5" t="s">
        <v>10</v>
      </c>
      <c r="K163" s="4">
        <v>20</v>
      </c>
      <c r="L163" s="5"/>
      <c r="M163" s="6" t="s">
        <v>158</v>
      </c>
      <c r="N163" s="6" t="str">
        <f t="shared" si="19"/>
        <v>BANGUNAN GEDUNG LEMBAGA PEMASYARAKATAN</v>
      </c>
      <c r="O163" t="b">
        <f t="shared" si="20"/>
        <v>0</v>
      </c>
      <c r="Q163" s="12" t="s">
        <v>769</v>
      </c>
      <c r="R163" s="27">
        <v>3</v>
      </c>
      <c r="S163" s="28">
        <v>11</v>
      </c>
      <c r="T163" s="28">
        <v>1</v>
      </c>
      <c r="U163" s="28">
        <v>23</v>
      </c>
      <c r="V163" s="28" t="s">
        <v>411</v>
      </c>
      <c r="W163" s="11" t="s">
        <v>500</v>
      </c>
      <c r="X163" t="str">
        <f t="shared" si="21"/>
        <v>Bangunan Lembaga Permasyarakatan</v>
      </c>
      <c r="Y163" s="13" t="s">
        <v>413</v>
      </c>
      <c r="Z163" s="13">
        <v>135</v>
      </c>
    </row>
    <row r="164" spans="1:26" ht="26.25" customHeight="1" x14ac:dyDescent="0.25">
      <c r="A164" t="s">
        <v>1242</v>
      </c>
      <c r="B164" t="str">
        <f t="shared" si="16"/>
        <v>3.11.1.23.1</v>
      </c>
      <c r="C164" t="str">
        <f t="shared" si="17"/>
        <v>Berubah</v>
      </c>
      <c r="D164" t="str">
        <f t="shared" si="18"/>
        <v>1.3.3.01.01.20.001</v>
      </c>
      <c r="E164" s="12" t="s">
        <v>770</v>
      </c>
      <c r="F164" s="4">
        <v>1</v>
      </c>
      <c r="G164" s="4">
        <v>3</v>
      </c>
      <c r="H164" s="4">
        <v>3</v>
      </c>
      <c r="I164" s="5" t="s">
        <v>10</v>
      </c>
      <c r="J164" s="5" t="s">
        <v>10</v>
      </c>
      <c r="K164" s="4">
        <v>20</v>
      </c>
      <c r="L164" s="5" t="s">
        <v>14</v>
      </c>
      <c r="M164" s="6" t="s">
        <v>159</v>
      </c>
      <c r="N164" s="6" t="str">
        <f t="shared" si="19"/>
        <v>Bangunan Gedung L P Kelas I</v>
      </c>
      <c r="O164" t="b">
        <f t="shared" si="20"/>
        <v>0</v>
      </c>
      <c r="Q164" s="12" t="s">
        <v>770</v>
      </c>
      <c r="R164" s="27">
        <v>3</v>
      </c>
      <c r="S164" s="28">
        <v>11</v>
      </c>
      <c r="T164" s="28">
        <v>1</v>
      </c>
      <c r="U164" s="28">
        <v>23</v>
      </c>
      <c r="V164" s="28">
        <v>1</v>
      </c>
      <c r="W164" s="11" t="s">
        <v>501</v>
      </c>
      <c r="X164" t="str">
        <f t="shared" si="21"/>
        <v>Bangunan Gedung LP Kelas I</v>
      </c>
      <c r="Y164" s="13" t="s">
        <v>413</v>
      </c>
      <c r="Z164" s="13">
        <v>136</v>
      </c>
    </row>
    <row r="165" spans="1:26" ht="26.25" customHeight="1" x14ac:dyDescent="0.25">
      <c r="A165" t="s">
        <v>1243</v>
      </c>
      <c r="B165" t="str">
        <f t="shared" si="16"/>
        <v>3.11.1.23.2</v>
      </c>
      <c r="C165" t="str">
        <f t="shared" si="17"/>
        <v>Berubah</v>
      </c>
      <c r="D165" t="str">
        <f t="shared" si="18"/>
        <v>1.3.3.01.01.20.002</v>
      </c>
      <c r="E165" s="12" t="s">
        <v>771</v>
      </c>
      <c r="F165" s="4">
        <v>1</v>
      </c>
      <c r="G165" s="4">
        <v>3</v>
      </c>
      <c r="H165" s="4">
        <v>3</v>
      </c>
      <c r="I165" s="5" t="s">
        <v>10</v>
      </c>
      <c r="J165" s="5" t="s">
        <v>10</v>
      </c>
      <c r="K165" s="4">
        <v>20</v>
      </c>
      <c r="L165" s="5" t="s">
        <v>16</v>
      </c>
      <c r="M165" s="6" t="s">
        <v>160</v>
      </c>
      <c r="N165" s="6" t="str">
        <f t="shared" si="19"/>
        <v>Bangunan Gedung L P Kelas II</v>
      </c>
      <c r="O165" t="b">
        <f t="shared" si="20"/>
        <v>0</v>
      </c>
      <c r="Q165" s="12" t="s">
        <v>771</v>
      </c>
      <c r="R165" s="27">
        <v>3</v>
      </c>
      <c r="S165" s="28">
        <v>11</v>
      </c>
      <c r="T165" s="28">
        <v>1</v>
      </c>
      <c r="U165" s="28">
        <v>23</v>
      </c>
      <c r="V165" s="28">
        <v>2</v>
      </c>
      <c r="W165" s="11" t="s">
        <v>502</v>
      </c>
      <c r="X165" t="str">
        <f t="shared" si="21"/>
        <v>Bangunan Gedung LP Kelas II</v>
      </c>
      <c r="Y165" s="13" t="s">
        <v>413</v>
      </c>
      <c r="Z165" s="13">
        <v>137</v>
      </c>
    </row>
    <row r="166" spans="1:26" ht="26.25" customHeight="1" x14ac:dyDescent="0.25">
      <c r="A166" t="s">
        <v>1244</v>
      </c>
      <c r="B166" t="str">
        <f t="shared" si="16"/>
        <v>3.11.1.23.3</v>
      </c>
      <c r="C166" t="str">
        <f t="shared" si="17"/>
        <v>Berubah</v>
      </c>
      <c r="D166" t="str">
        <f t="shared" si="18"/>
        <v>1.3.3.01.01.20.003</v>
      </c>
      <c r="E166" s="12" t="s">
        <v>772</v>
      </c>
      <c r="F166" s="4">
        <v>1</v>
      </c>
      <c r="G166" s="4">
        <v>3</v>
      </c>
      <c r="H166" s="4">
        <v>3</v>
      </c>
      <c r="I166" s="5" t="s">
        <v>10</v>
      </c>
      <c r="J166" s="5" t="s">
        <v>10</v>
      </c>
      <c r="K166" s="4">
        <v>20</v>
      </c>
      <c r="L166" s="5" t="s">
        <v>18</v>
      </c>
      <c r="M166" s="6" t="s">
        <v>23</v>
      </c>
      <c r="N166" s="6" t="str">
        <f t="shared" si="19"/>
        <v>Dst….</v>
      </c>
      <c r="O166" t="b">
        <f t="shared" si="20"/>
        <v>0</v>
      </c>
      <c r="Q166" s="12" t="s">
        <v>772</v>
      </c>
      <c r="R166" s="27">
        <v>3</v>
      </c>
      <c r="S166" s="28">
        <v>11</v>
      </c>
      <c r="T166" s="28">
        <v>1</v>
      </c>
      <c r="U166" s="28">
        <v>23</v>
      </c>
      <c r="V166" s="28">
        <v>3</v>
      </c>
      <c r="W166" s="11" t="s">
        <v>415</v>
      </c>
      <c r="X166" t="str">
        <f t="shared" si="21"/>
        <v>Lain-lain</v>
      </c>
      <c r="Y166" s="13" t="s">
        <v>413</v>
      </c>
      <c r="Z166" s="13">
        <v>138</v>
      </c>
    </row>
    <row r="167" spans="1:26" ht="26.25" customHeight="1" x14ac:dyDescent="0.25">
      <c r="A167" t="s">
        <v>1129</v>
      </c>
      <c r="B167" t="str">
        <f t="shared" si="16"/>
        <v>....</v>
      </c>
      <c r="C167" t="str">
        <f t="shared" si="17"/>
        <v>Bertambah</v>
      </c>
      <c r="D167" t="str">
        <f t="shared" si="18"/>
        <v>......</v>
      </c>
      <c r="E167" s="12" t="s">
        <v>773</v>
      </c>
      <c r="F167" s="4"/>
      <c r="G167" s="4"/>
      <c r="H167" s="4"/>
      <c r="I167" s="5"/>
      <c r="J167" s="5"/>
      <c r="K167" s="4"/>
      <c r="L167" s="5"/>
      <c r="M167" s="6"/>
      <c r="N167" s="6" t="str">
        <f t="shared" si="19"/>
        <v/>
      </c>
      <c r="O167" t="b">
        <f t="shared" si="20"/>
        <v>1</v>
      </c>
      <c r="Q167" s="12" t="s">
        <v>773</v>
      </c>
      <c r="R167" s="27"/>
      <c r="S167" s="28"/>
      <c r="T167" s="28"/>
      <c r="U167" s="28"/>
      <c r="V167" s="28"/>
      <c r="W167" s="11"/>
      <c r="X167" t="str">
        <f t="shared" si="21"/>
        <v/>
      </c>
      <c r="Y167" s="13"/>
      <c r="Z167" s="13"/>
    </row>
    <row r="168" spans="1:26" ht="26.25" customHeight="1" x14ac:dyDescent="0.25">
      <c r="A168" t="s">
        <v>1245</v>
      </c>
      <c r="B168" t="str">
        <f t="shared" si="16"/>
        <v>3.11.1.24.*</v>
      </c>
      <c r="C168" t="str">
        <f t="shared" si="17"/>
        <v>Berubah</v>
      </c>
      <c r="D168" t="str">
        <f t="shared" si="18"/>
        <v>1.3.3.01.01.21.</v>
      </c>
      <c r="E168" s="12" t="s">
        <v>774</v>
      </c>
      <c r="F168" s="4">
        <v>1</v>
      </c>
      <c r="G168" s="4">
        <v>3</v>
      </c>
      <c r="H168" s="4">
        <v>3</v>
      </c>
      <c r="I168" s="5" t="s">
        <v>10</v>
      </c>
      <c r="J168" s="5" t="s">
        <v>10</v>
      </c>
      <c r="K168" s="4">
        <v>21</v>
      </c>
      <c r="L168" s="5"/>
      <c r="M168" s="6" t="s">
        <v>161</v>
      </c>
      <c r="N168" s="6" t="str">
        <f t="shared" si="19"/>
        <v>BANGUNAN RUMAH TAHANAN</v>
      </c>
      <c r="O168" t="b">
        <f t="shared" si="20"/>
        <v>1</v>
      </c>
      <c r="Q168" s="12" t="s">
        <v>774</v>
      </c>
      <c r="R168" s="27">
        <v>3</v>
      </c>
      <c r="S168" s="28">
        <v>11</v>
      </c>
      <c r="T168" s="28">
        <v>1</v>
      </c>
      <c r="U168" s="28">
        <v>24</v>
      </c>
      <c r="V168" s="28" t="s">
        <v>411</v>
      </c>
      <c r="W168" s="11" t="s">
        <v>503</v>
      </c>
      <c r="X168" t="str">
        <f t="shared" si="21"/>
        <v>Bangunan Rumah Tahanan</v>
      </c>
      <c r="Y168" s="13" t="s">
        <v>413</v>
      </c>
      <c r="Z168" s="13">
        <v>139</v>
      </c>
    </row>
    <row r="169" spans="1:26" ht="26.25" customHeight="1" x14ac:dyDescent="0.25">
      <c r="A169" t="s">
        <v>1246</v>
      </c>
      <c r="B169" t="str">
        <f t="shared" si="16"/>
        <v>3.11.1.24.1</v>
      </c>
      <c r="C169" t="str">
        <f t="shared" si="17"/>
        <v>Berubah</v>
      </c>
      <c r="D169" t="str">
        <f t="shared" si="18"/>
        <v>1.3.3.01.01.21.001</v>
      </c>
      <c r="E169" s="12" t="s">
        <v>775</v>
      </c>
      <c r="F169" s="4">
        <v>1</v>
      </c>
      <c r="G169" s="4">
        <v>3</v>
      </c>
      <c r="H169" s="4">
        <v>3</v>
      </c>
      <c r="I169" s="5" t="s">
        <v>10</v>
      </c>
      <c r="J169" s="5" t="s">
        <v>10</v>
      </c>
      <c r="K169" s="4">
        <v>21</v>
      </c>
      <c r="L169" s="5" t="s">
        <v>14</v>
      </c>
      <c r="M169" s="6" t="s">
        <v>162</v>
      </c>
      <c r="N169" s="6" t="str">
        <f t="shared" si="19"/>
        <v>Bangunan Gedung Rutan Kelas I</v>
      </c>
      <c r="O169" t="b">
        <f t="shared" si="20"/>
        <v>1</v>
      </c>
      <c r="Q169" s="12" t="s">
        <v>775</v>
      </c>
      <c r="R169" s="27">
        <v>3</v>
      </c>
      <c r="S169" s="28">
        <v>11</v>
      </c>
      <c r="T169" s="28">
        <v>1</v>
      </c>
      <c r="U169" s="28">
        <v>24</v>
      </c>
      <c r="V169" s="28">
        <v>1</v>
      </c>
      <c r="W169" s="11" t="s">
        <v>162</v>
      </c>
      <c r="X169" t="str">
        <f t="shared" si="21"/>
        <v>Bangunan Gedung Rutan Kelas I</v>
      </c>
      <c r="Y169" s="13" t="s">
        <v>413</v>
      </c>
      <c r="Z169" s="13">
        <v>140</v>
      </c>
    </row>
    <row r="170" spans="1:26" ht="26.25" customHeight="1" x14ac:dyDescent="0.25">
      <c r="A170" t="s">
        <v>1247</v>
      </c>
      <c r="B170" t="str">
        <f t="shared" si="16"/>
        <v>3.11.1.24.2</v>
      </c>
      <c r="C170" t="str">
        <f t="shared" si="17"/>
        <v>Berubah</v>
      </c>
      <c r="D170" t="str">
        <f t="shared" si="18"/>
        <v>1.3.3.01.01.21.002</v>
      </c>
      <c r="E170" s="12" t="s">
        <v>776</v>
      </c>
      <c r="F170" s="4">
        <v>1</v>
      </c>
      <c r="G170" s="4">
        <v>3</v>
      </c>
      <c r="H170" s="4">
        <v>3</v>
      </c>
      <c r="I170" s="5" t="s">
        <v>10</v>
      </c>
      <c r="J170" s="5" t="s">
        <v>10</v>
      </c>
      <c r="K170" s="4">
        <v>21</v>
      </c>
      <c r="L170" s="5" t="s">
        <v>16</v>
      </c>
      <c r="M170" s="6" t="s">
        <v>163</v>
      </c>
      <c r="N170" s="6" t="str">
        <f t="shared" si="19"/>
        <v>Bangunan Gedung Rutan Kelas II</v>
      </c>
      <c r="O170" t="b">
        <f t="shared" si="20"/>
        <v>1</v>
      </c>
      <c r="Q170" s="12" t="s">
        <v>776</v>
      </c>
      <c r="R170" s="27">
        <v>3</v>
      </c>
      <c r="S170" s="28">
        <v>11</v>
      </c>
      <c r="T170" s="28">
        <v>1</v>
      </c>
      <c r="U170" s="28">
        <v>24</v>
      </c>
      <c r="V170" s="28">
        <v>2</v>
      </c>
      <c r="W170" s="11" t="s">
        <v>163</v>
      </c>
      <c r="X170" t="str">
        <f t="shared" si="21"/>
        <v>Bangunan Gedung Rutan Kelas II</v>
      </c>
      <c r="Y170" s="13" t="s">
        <v>413</v>
      </c>
      <c r="Z170" s="13">
        <v>141</v>
      </c>
    </row>
    <row r="171" spans="1:26" ht="26.25" customHeight="1" x14ac:dyDescent="0.25">
      <c r="A171" t="s">
        <v>1129</v>
      </c>
      <c r="B171" t="str">
        <f t="shared" si="16"/>
        <v>....</v>
      </c>
      <c r="C171" t="str">
        <f t="shared" si="17"/>
        <v>Bertambah</v>
      </c>
      <c r="D171" t="str">
        <f t="shared" si="18"/>
        <v>1.3.3.01.01.21.003</v>
      </c>
      <c r="E171" s="12" t="s">
        <v>777</v>
      </c>
      <c r="F171" s="17">
        <v>1</v>
      </c>
      <c r="G171" s="17">
        <v>3</v>
      </c>
      <c r="H171" s="17">
        <v>3</v>
      </c>
      <c r="I171" s="18" t="s">
        <v>10</v>
      </c>
      <c r="J171" s="18" t="s">
        <v>10</v>
      </c>
      <c r="K171" s="17">
        <v>21</v>
      </c>
      <c r="L171" s="18" t="s">
        <v>18</v>
      </c>
      <c r="M171" s="19" t="s">
        <v>164</v>
      </c>
      <c r="N171" s="19" t="str">
        <f t="shared" si="19"/>
        <v>Gedung Tahanan Karantina</v>
      </c>
      <c r="O171" t="b">
        <f t="shared" si="20"/>
        <v>0</v>
      </c>
      <c r="Q171" s="12" t="s">
        <v>777</v>
      </c>
      <c r="R171" s="29"/>
      <c r="S171" s="29"/>
      <c r="T171" s="29"/>
      <c r="U171" s="29"/>
      <c r="V171" s="29"/>
      <c r="W171" s="10"/>
      <c r="X171" t="str">
        <f t="shared" si="21"/>
        <v/>
      </c>
      <c r="Y171" s="10"/>
      <c r="Z171" s="10"/>
    </row>
    <row r="172" spans="1:26" ht="26.25" customHeight="1" x14ac:dyDescent="0.25">
      <c r="A172" t="s">
        <v>1248</v>
      </c>
      <c r="B172" t="str">
        <f t="shared" si="16"/>
        <v>3.11.1.24.3</v>
      </c>
      <c r="C172" t="str">
        <f t="shared" si="17"/>
        <v>Berubah</v>
      </c>
      <c r="D172" t="str">
        <f t="shared" si="18"/>
        <v>1.3.3.01.01.21.004</v>
      </c>
      <c r="E172" s="12" t="s">
        <v>778</v>
      </c>
      <c r="F172" s="4">
        <v>1</v>
      </c>
      <c r="G172" s="4">
        <v>3</v>
      </c>
      <c r="H172" s="4">
        <v>3</v>
      </c>
      <c r="I172" s="5" t="s">
        <v>10</v>
      </c>
      <c r="J172" s="5" t="s">
        <v>10</v>
      </c>
      <c r="K172" s="4">
        <v>21</v>
      </c>
      <c r="L172" s="5" t="s">
        <v>20</v>
      </c>
      <c r="M172" s="6" t="s">
        <v>23</v>
      </c>
      <c r="N172" s="6" t="str">
        <f t="shared" si="19"/>
        <v>Dst….</v>
      </c>
      <c r="O172" t="b">
        <f t="shared" si="20"/>
        <v>0</v>
      </c>
      <c r="Q172" s="12" t="s">
        <v>778</v>
      </c>
      <c r="R172" s="27">
        <v>3</v>
      </c>
      <c r="S172" s="28">
        <v>11</v>
      </c>
      <c r="T172" s="28">
        <v>1</v>
      </c>
      <c r="U172" s="28">
        <v>24</v>
      </c>
      <c r="V172" s="28">
        <v>3</v>
      </c>
      <c r="W172" s="11" t="s">
        <v>415</v>
      </c>
      <c r="X172" t="str">
        <f t="shared" si="21"/>
        <v>Lain-lain</v>
      </c>
      <c r="Y172" s="13" t="s">
        <v>413</v>
      </c>
      <c r="Z172" s="13">
        <v>142</v>
      </c>
    </row>
    <row r="173" spans="1:26" ht="26.25" customHeight="1" x14ac:dyDescent="0.25">
      <c r="A173" t="s">
        <v>1249</v>
      </c>
      <c r="B173" t="str">
        <f t="shared" si="16"/>
        <v>3.11.1.25.*</v>
      </c>
      <c r="C173" t="str">
        <f t="shared" si="17"/>
        <v>Berubah</v>
      </c>
      <c r="D173" t="str">
        <f t="shared" si="18"/>
        <v>1.3.3.01.01.22.</v>
      </c>
      <c r="E173" s="12" t="s">
        <v>779</v>
      </c>
      <c r="F173" s="4">
        <v>1</v>
      </c>
      <c r="G173" s="4">
        <v>3</v>
      </c>
      <c r="H173" s="4">
        <v>3</v>
      </c>
      <c r="I173" s="5" t="s">
        <v>10</v>
      </c>
      <c r="J173" s="5" t="s">
        <v>10</v>
      </c>
      <c r="K173" s="4">
        <v>22</v>
      </c>
      <c r="L173" s="5"/>
      <c r="M173" s="6" t="s">
        <v>165</v>
      </c>
      <c r="N173" s="6" t="str">
        <f t="shared" si="19"/>
        <v>BANGUNAN GEDUNG KREMATORIUM</v>
      </c>
      <c r="O173" t="b">
        <f t="shared" si="20"/>
        <v>0</v>
      </c>
      <c r="Q173" s="12" t="s">
        <v>779</v>
      </c>
      <c r="R173" s="27">
        <v>3</v>
      </c>
      <c r="S173" s="28">
        <v>11</v>
      </c>
      <c r="T173" s="28">
        <v>1</v>
      </c>
      <c r="U173" s="28">
        <v>25</v>
      </c>
      <c r="V173" s="28" t="s">
        <v>411</v>
      </c>
      <c r="W173" s="11" t="s">
        <v>504</v>
      </c>
      <c r="X173" t="str">
        <f t="shared" si="21"/>
        <v>Bangunan Gedung Kramatorium</v>
      </c>
      <c r="Y173" s="13" t="s">
        <v>413</v>
      </c>
      <c r="Z173" s="13">
        <v>143</v>
      </c>
    </row>
    <row r="174" spans="1:26" ht="26.25" customHeight="1" x14ac:dyDescent="0.25">
      <c r="A174" t="s">
        <v>1250</v>
      </c>
      <c r="B174" t="str">
        <f t="shared" si="16"/>
        <v>3.11.1.25.1</v>
      </c>
      <c r="C174" t="str">
        <f t="shared" si="17"/>
        <v>Berubah</v>
      </c>
      <c r="D174" t="str">
        <f t="shared" si="18"/>
        <v>1.3.3.01.01.22.001</v>
      </c>
      <c r="E174" s="12" t="s">
        <v>780</v>
      </c>
      <c r="F174" s="4">
        <v>1</v>
      </c>
      <c r="G174" s="4">
        <v>3</v>
      </c>
      <c r="H174" s="4">
        <v>3</v>
      </c>
      <c r="I174" s="5" t="s">
        <v>10</v>
      </c>
      <c r="J174" s="5" t="s">
        <v>10</v>
      </c>
      <c r="K174" s="4">
        <v>22</v>
      </c>
      <c r="L174" s="5" t="s">
        <v>14</v>
      </c>
      <c r="M174" s="6" t="s">
        <v>166</v>
      </c>
      <c r="N174" s="6" t="str">
        <f t="shared" si="19"/>
        <v>Bangunan Gedung Krematorium Permanen</v>
      </c>
      <c r="O174" t="b">
        <f t="shared" si="20"/>
        <v>0</v>
      </c>
      <c r="Q174" s="12" t="s">
        <v>780</v>
      </c>
      <c r="R174" s="27">
        <v>3</v>
      </c>
      <c r="S174" s="28">
        <v>11</v>
      </c>
      <c r="T174" s="28">
        <v>1</v>
      </c>
      <c r="U174" s="28">
        <v>25</v>
      </c>
      <c r="V174" s="28">
        <v>1</v>
      </c>
      <c r="W174" s="11" t="s">
        <v>505</v>
      </c>
      <c r="X174" t="str">
        <f>TRIM(W174)</f>
        <v>Bangunan gedung Kramatorium Permanen</v>
      </c>
      <c r="Y174" s="13" t="s">
        <v>413</v>
      </c>
      <c r="Z174" s="13">
        <v>144</v>
      </c>
    </row>
    <row r="175" spans="1:26" ht="26.25" customHeight="1" x14ac:dyDescent="0.25">
      <c r="A175" t="s">
        <v>1251</v>
      </c>
      <c r="B175" t="str">
        <f t="shared" si="16"/>
        <v>3.11.1.25.2</v>
      </c>
      <c r="C175" t="str">
        <f t="shared" si="17"/>
        <v>Berubah</v>
      </c>
      <c r="D175" t="str">
        <f t="shared" si="18"/>
        <v>1.3.3.01.01.22.002</v>
      </c>
      <c r="E175" s="12" t="s">
        <v>781</v>
      </c>
      <c r="F175" s="4">
        <v>1</v>
      </c>
      <c r="G175" s="4">
        <v>3</v>
      </c>
      <c r="H175" s="4">
        <v>3</v>
      </c>
      <c r="I175" s="5" t="s">
        <v>10</v>
      </c>
      <c r="J175" s="5" t="s">
        <v>10</v>
      </c>
      <c r="K175" s="4">
        <v>22</v>
      </c>
      <c r="L175" s="5" t="s">
        <v>16</v>
      </c>
      <c r="M175" s="6" t="s">
        <v>167</v>
      </c>
      <c r="N175" s="6" t="str">
        <f t="shared" si="19"/>
        <v>Bangunan Gedung Krematorium Semi Permanen</v>
      </c>
      <c r="O175" t="b">
        <f t="shared" si="20"/>
        <v>0</v>
      </c>
      <c r="Q175" s="12" t="s">
        <v>781</v>
      </c>
      <c r="R175" s="27">
        <v>3</v>
      </c>
      <c r="S175" s="28">
        <v>11</v>
      </c>
      <c r="T175" s="28">
        <v>1</v>
      </c>
      <c r="U175" s="28">
        <v>25</v>
      </c>
      <c r="V175" s="28">
        <v>2</v>
      </c>
      <c r="W175" s="11" t="s">
        <v>506</v>
      </c>
      <c r="X175" t="str">
        <f t="shared" si="21"/>
        <v>Bangunan Gedung Kramatorium Semi Permanen</v>
      </c>
      <c r="Y175" s="13" t="s">
        <v>413</v>
      </c>
      <c r="Z175" s="13">
        <v>145</v>
      </c>
    </row>
    <row r="176" spans="1:26" ht="26.25" customHeight="1" x14ac:dyDescent="0.25">
      <c r="A176" t="s">
        <v>1252</v>
      </c>
      <c r="B176" t="str">
        <f t="shared" si="16"/>
        <v>3.11.1.25.4</v>
      </c>
      <c r="C176" t="str">
        <f t="shared" si="17"/>
        <v>Berubah</v>
      </c>
      <c r="D176" t="str">
        <f t="shared" si="18"/>
        <v>1.3.3.01.01.22.003</v>
      </c>
      <c r="E176" s="12" t="s">
        <v>782</v>
      </c>
      <c r="F176" s="4">
        <v>1</v>
      </c>
      <c r="G176" s="4">
        <v>3</v>
      </c>
      <c r="H176" s="4">
        <v>3</v>
      </c>
      <c r="I176" s="5" t="s">
        <v>10</v>
      </c>
      <c r="J176" s="5" t="s">
        <v>10</v>
      </c>
      <c r="K176" s="4">
        <v>22</v>
      </c>
      <c r="L176" s="5" t="s">
        <v>18</v>
      </c>
      <c r="M176" s="6" t="s">
        <v>168</v>
      </c>
      <c r="N176" s="6" t="str">
        <f t="shared" si="19"/>
        <v>Bangunan Gedung Krematorium Darurat</v>
      </c>
      <c r="O176" t="b">
        <f t="shared" si="20"/>
        <v>0</v>
      </c>
      <c r="Q176" s="12" t="s">
        <v>782</v>
      </c>
      <c r="R176" s="27">
        <v>3</v>
      </c>
      <c r="S176" s="28">
        <v>11</v>
      </c>
      <c r="T176" s="28">
        <v>1</v>
      </c>
      <c r="U176" s="28">
        <v>25</v>
      </c>
      <c r="V176" s="28">
        <v>4</v>
      </c>
      <c r="W176" s="11" t="s">
        <v>507</v>
      </c>
      <c r="X176" t="str">
        <f t="shared" si="21"/>
        <v>Bangunan Gedung Kramatorium Darurat</v>
      </c>
      <c r="Y176" s="13" t="s">
        <v>413</v>
      </c>
      <c r="Z176" s="13">
        <v>147</v>
      </c>
    </row>
    <row r="177" spans="1:26" ht="26.25" customHeight="1" x14ac:dyDescent="0.25">
      <c r="A177" t="s">
        <v>1253</v>
      </c>
      <c r="B177" t="str">
        <f t="shared" si="16"/>
        <v>3.11.1.25.5</v>
      </c>
      <c r="C177" t="str">
        <f t="shared" si="17"/>
        <v>Berubah</v>
      </c>
      <c r="D177" t="str">
        <f t="shared" si="18"/>
        <v>1.3.3.01.01.22.004</v>
      </c>
      <c r="E177" s="12" t="s">
        <v>783</v>
      </c>
      <c r="F177" s="4">
        <v>1</v>
      </c>
      <c r="G177" s="4">
        <v>3</v>
      </c>
      <c r="H177" s="4">
        <v>3</v>
      </c>
      <c r="I177" s="5" t="s">
        <v>10</v>
      </c>
      <c r="J177" s="5" t="s">
        <v>10</v>
      </c>
      <c r="K177" s="4">
        <v>22</v>
      </c>
      <c r="L177" s="5" t="s">
        <v>20</v>
      </c>
      <c r="M177" s="6" t="s">
        <v>23</v>
      </c>
      <c r="N177" s="6" t="str">
        <f t="shared" si="19"/>
        <v>Dst….</v>
      </c>
      <c r="O177" t="b">
        <f t="shared" si="20"/>
        <v>0</v>
      </c>
      <c r="Q177" s="12" t="s">
        <v>783</v>
      </c>
      <c r="R177" s="27">
        <v>3</v>
      </c>
      <c r="S177" s="28">
        <v>11</v>
      </c>
      <c r="T177" s="28">
        <v>1</v>
      </c>
      <c r="U177" s="28">
        <v>25</v>
      </c>
      <c r="V177" s="28">
        <v>5</v>
      </c>
      <c r="W177" s="11" t="s">
        <v>415</v>
      </c>
      <c r="X177" t="str">
        <f t="shared" si="21"/>
        <v>Lain-lain</v>
      </c>
      <c r="Y177" s="13" t="s">
        <v>413</v>
      </c>
      <c r="Z177" s="13">
        <v>148</v>
      </c>
    </row>
    <row r="178" spans="1:26" ht="26.25" customHeight="1" x14ac:dyDescent="0.25">
      <c r="A178" t="s">
        <v>1254</v>
      </c>
      <c r="B178" t="str">
        <f t="shared" si="16"/>
        <v>3.11.1.25.3</v>
      </c>
      <c r="C178" t="str">
        <f t="shared" si="17"/>
        <v>Keluar</v>
      </c>
      <c r="D178" t="str">
        <f t="shared" si="18"/>
        <v>......</v>
      </c>
      <c r="E178" s="12" t="s">
        <v>784</v>
      </c>
      <c r="F178" s="4"/>
      <c r="G178" s="4"/>
      <c r="H178" s="4"/>
      <c r="I178" s="5"/>
      <c r="J178" s="5"/>
      <c r="K178" s="4"/>
      <c r="L178" s="5"/>
      <c r="M178" s="6"/>
      <c r="N178" s="6" t="s">
        <v>170</v>
      </c>
      <c r="O178" t="b">
        <f>M178=W179</f>
        <v>1</v>
      </c>
      <c r="Q178" s="12" t="s">
        <v>784</v>
      </c>
      <c r="R178" s="27">
        <v>3</v>
      </c>
      <c r="S178" s="28">
        <v>11</v>
      </c>
      <c r="T178" s="28">
        <v>1</v>
      </c>
      <c r="U178" s="28">
        <v>25</v>
      </c>
      <c r="V178" s="28">
        <v>3</v>
      </c>
      <c r="W178" s="11" t="s">
        <v>506</v>
      </c>
      <c r="X178" s="11"/>
      <c r="Y178" s="13" t="s">
        <v>413</v>
      </c>
      <c r="Z178" s="13">
        <v>146</v>
      </c>
    </row>
    <row r="179" spans="1:26" ht="26.25" customHeight="1" x14ac:dyDescent="0.25">
      <c r="A179" t="s">
        <v>1129</v>
      </c>
      <c r="B179" t="str">
        <f t="shared" si="16"/>
        <v>....</v>
      </c>
      <c r="C179" t="str">
        <f t="shared" si="17"/>
        <v>Bertambah</v>
      </c>
      <c r="D179" t="str">
        <f t="shared" si="18"/>
        <v>......</v>
      </c>
      <c r="E179" s="12" t="s">
        <v>785</v>
      </c>
      <c r="F179" s="4"/>
      <c r="G179" s="4"/>
      <c r="H179" s="4"/>
      <c r="I179" s="5"/>
      <c r="J179" s="5"/>
      <c r="K179" s="4"/>
      <c r="L179" s="5"/>
      <c r="M179" s="6"/>
      <c r="N179" s="6" t="str">
        <f t="shared" ref="N179:N234" si="22">TRIM(M179)</f>
        <v/>
      </c>
      <c r="O179" t="b">
        <f t="shared" ref="O179:O210" si="23">M179=W179</f>
        <v>1</v>
      </c>
      <c r="Q179" s="12" t="s">
        <v>785</v>
      </c>
      <c r="R179" s="29"/>
      <c r="S179" s="29"/>
      <c r="T179" s="29"/>
      <c r="U179" s="29"/>
      <c r="V179" s="29"/>
      <c r="W179" s="10"/>
      <c r="X179" t="str">
        <f t="shared" ref="X179:X234" si="24">TRIM(W179)</f>
        <v/>
      </c>
      <c r="Y179" s="10"/>
      <c r="Z179" s="10"/>
    </row>
    <row r="180" spans="1:26" ht="26.25" customHeight="1" x14ac:dyDescent="0.25">
      <c r="A180" t="s">
        <v>1255</v>
      </c>
      <c r="B180" t="str">
        <f t="shared" si="16"/>
        <v>3.11.1.26.*</v>
      </c>
      <c r="C180" t="str">
        <f t="shared" si="17"/>
        <v>Berubah</v>
      </c>
      <c r="D180" t="str">
        <f t="shared" si="18"/>
        <v>1.3.3.01.01.23.</v>
      </c>
      <c r="E180" s="12" t="s">
        <v>786</v>
      </c>
      <c r="F180" s="4">
        <v>1</v>
      </c>
      <c r="G180" s="4">
        <v>3</v>
      </c>
      <c r="H180" s="4">
        <v>3</v>
      </c>
      <c r="I180" s="5" t="s">
        <v>10</v>
      </c>
      <c r="J180" s="5" t="s">
        <v>10</v>
      </c>
      <c r="K180" s="4">
        <v>23</v>
      </c>
      <c r="L180" s="5"/>
      <c r="M180" s="6" t="s">
        <v>169</v>
      </c>
      <c r="N180" s="6" t="str">
        <f t="shared" si="22"/>
        <v>BANGUNAN PEMBAKARAN BANGKAI HEWAN</v>
      </c>
      <c r="O180" t="b">
        <f t="shared" si="23"/>
        <v>1</v>
      </c>
      <c r="Q180" s="12" t="s">
        <v>786</v>
      </c>
      <c r="R180" s="27">
        <v>3</v>
      </c>
      <c r="S180" s="28">
        <v>11</v>
      </c>
      <c r="T180" s="28">
        <v>1</v>
      </c>
      <c r="U180" s="28">
        <v>26</v>
      </c>
      <c r="V180" s="28" t="s">
        <v>411</v>
      </c>
      <c r="W180" s="11" t="s">
        <v>508</v>
      </c>
      <c r="X180" t="str">
        <f t="shared" si="24"/>
        <v>Bangunan Pembakaran Bangkai Hewan</v>
      </c>
      <c r="Y180" s="13" t="s">
        <v>413</v>
      </c>
      <c r="Z180" s="13">
        <v>149</v>
      </c>
    </row>
    <row r="181" spans="1:26" ht="26.25" customHeight="1" x14ac:dyDescent="0.25">
      <c r="A181" t="s">
        <v>1256</v>
      </c>
      <c r="B181" t="str">
        <f t="shared" si="16"/>
        <v>3.11.1.26.1</v>
      </c>
      <c r="C181" t="str">
        <f t="shared" si="17"/>
        <v>Berubah</v>
      </c>
      <c r="D181" t="str">
        <f t="shared" si="18"/>
        <v>1.3.3.01.01.23.001</v>
      </c>
      <c r="E181" s="12" t="s">
        <v>787</v>
      </c>
      <c r="F181" s="4">
        <v>1</v>
      </c>
      <c r="G181" s="4">
        <v>3</v>
      </c>
      <c r="H181" s="4">
        <v>3</v>
      </c>
      <c r="I181" s="5" t="s">
        <v>10</v>
      </c>
      <c r="J181" s="5" t="s">
        <v>10</v>
      </c>
      <c r="K181" s="4">
        <v>23</v>
      </c>
      <c r="L181" s="5" t="s">
        <v>14</v>
      </c>
      <c r="M181" s="6" t="s">
        <v>170</v>
      </c>
      <c r="N181" s="6" t="str">
        <f t="shared" si="22"/>
        <v>Bangunan Pembakaran Bangkai Hewan Permanen</v>
      </c>
      <c r="O181" t="b">
        <f t="shared" si="23"/>
        <v>0</v>
      </c>
      <c r="Q181" s="12" t="s">
        <v>787</v>
      </c>
      <c r="R181" s="27">
        <v>3</v>
      </c>
      <c r="S181" s="28">
        <v>11</v>
      </c>
      <c r="T181" s="28">
        <v>1</v>
      </c>
      <c r="U181" s="28">
        <v>26</v>
      </c>
      <c r="V181" s="28">
        <v>1</v>
      </c>
      <c r="W181" s="11" t="s">
        <v>509</v>
      </c>
      <c r="X181" t="str">
        <f t="shared" si="24"/>
        <v>Bangunan Pembakaran Bangkai Hewan Permanen</v>
      </c>
      <c r="Y181" s="13" t="s">
        <v>413</v>
      </c>
      <c r="Z181" s="13">
        <v>150</v>
      </c>
    </row>
    <row r="182" spans="1:26" ht="26.25" customHeight="1" x14ac:dyDescent="0.25">
      <c r="A182" t="s">
        <v>1257</v>
      </c>
      <c r="B182" t="str">
        <f t="shared" si="16"/>
        <v>3.11.1.26.2</v>
      </c>
      <c r="C182" t="str">
        <f t="shared" si="17"/>
        <v>Berubah</v>
      </c>
      <c r="D182" t="str">
        <f t="shared" si="18"/>
        <v>1.3.3.01.01.23.002</v>
      </c>
      <c r="E182" s="12" t="s">
        <v>788</v>
      </c>
      <c r="F182" s="4">
        <v>1</v>
      </c>
      <c r="G182" s="4">
        <v>3</v>
      </c>
      <c r="H182" s="4">
        <v>3</v>
      </c>
      <c r="I182" s="5" t="s">
        <v>10</v>
      </c>
      <c r="J182" s="5" t="s">
        <v>10</v>
      </c>
      <c r="K182" s="4">
        <v>23</v>
      </c>
      <c r="L182" s="5" t="s">
        <v>16</v>
      </c>
      <c r="M182" s="6" t="s">
        <v>171</v>
      </c>
      <c r="N182" s="6" t="str">
        <f t="shared" si="22"/>
        <v>Bangunan Pembakaran Bangkai Hewan Semi Permanen</v>
      </c>
      <c r="O182" t="b">
        <f t="shared" si="23"/>
        <v>0</v>
      </c>
      <c r="Q182" s="12" t="s">
        <v>788</v>
      </c>
      <c r="R182" s="27">
        <v>3</v>
      </c>
      <c r="S182" s="28">
        <v>11</v>
      </c>
      <c r="T182" s="28">
        <v>1</v>
      </c>
      <c r="U182" s="28">
        <v>26</v>
      </c>
      <c r="V182" s="28">
        <v>2</v>
      </c>
      <c r="W182" s="11" t="s">
        <v>510</v>
      </c>
      <c r="X182" t="str">
        <f t="shared" si="24"/>
        <v>BangunanPembakaran bangkai Hewan Semi Permanen</v>
      </c>
      <c r="Y182" s="13" t="s">
        <v>413</v>
      </c>
      <c r="Z182" s="13">
        <v>151</v>
      </c>
    </row>
    <row r="183" spans="1:26" ht="26.25" customHeight="1" x14ac:dyDescent="0.25">
      <c r="A183" t="s">
        <v>1258</v>
      </c>
      <c r="B183" t="str">
        <f t="shared" si="16"/>
        <v>3.11.1.26.3</v>
      </c>
      <c r="C183" t="str">
        <f t="shared" si="17"/>
        <v>Berubah</v>
      </c>
      <c r="D183" t="str">
        <f t="shared" si="18"/>
        <v>1.3.3.01.01.23.003</v>
      </c>
      <c r="E183" s="12" t="s">
        <v>789</v>
      </c>
      <c r="F183" s="4">
        <v>1</v>
      </c>
      <c r="G183" s="4">
        <v>3</v>
      </c>
      <c r="H183" s="4">
        <v>3</v>
      </c>
      <c r="I183" s="5" t="s">
        <v>10</v>
      </c>
      <c r="J183" s="5" t="s">
        <v>10</v>
      </c>
      <c r="K183" s="4">
        <v>23</v>
      </c>
      <c r="L183" s="5" t="s">
        <v>18</v>
      </c>
      <c r="M183" s="6" t="s">
        <v>172</v>
      </c>
      <c r="N183" s="6" t="str">
        <f t="shared" si="22"/>
        <v>Bangunan Pembakaran Bangkai Hewan Darurat</v>
      </c>
      <c r="O183" t="b">
        <f t="shared" si="23"/>
        <v>1</v>
      </c>
      <c r="Q183" s="12" t="s">
        <v>789</v>
      </c>
      <c r="R183" s="27">
        <v>3</v>
      </c>
      <c r="S183" s="28">
        <v>11</v>
      </c>
      <c r="T183" s="28">
        <v>1</v>
      </c>
      <c r="U183" s="28">
        <v>26</v>
      </c>
      <c r="V183" s="28">
        <v>3</v>
      </c>
      <c r="W183" s="11" t="s">
        <v>172</v>
      </c>
      <c r="X183" t="str">
        <f t="shared" si="24"/>
        <v>Bangunan Pembakaran Bangkai Hewan Darurat</v>
      </c>
      <c r="Y183" s="13" t="s">
        <v>413</v>
      </c>
      <c r="Z183" s="13">
        <v>152</v>
      </c>
    </row>
    <row r="184" spans="1:26" ht="26.25" customHeight="1" x14ac:dyDescent="0.25">
      <c r="A184" t="s">
        <v>1259</v>
      </c>
      <c r="B184" t="str">
        <f t="shared" si="16"/>
        <v>3.11.1.26.4</v>
      </c>
      <c r="C184" t="str">
        <f t="shared" si="17"/>
        <v>Berubah</v>
      </c>
      <c r="D184" t="str">
        <f t="shared" si="18"/>
        <v>1.3.3.01.01.23.004</v>
      </c>
      <c r="E184" s="12" t="s">
        <v>790</v>
      </c>
      <c r="F184" s="4">
        <v>1</v>
      </c>
      <c r="G184" s="4">
        <v>3</v>
      </c>
      <c r="H184" s="4">
        <v>3</v>
      </c>
      <c r="I184" s="5" t="s">
        <v>10</v>
      </c>
      <c r="J184" s="5" t="s">
        <v>10</v>
      </c>
      <c r="K184" s="4">
        <v>23</v>
      </c>
      <c r="L184" s="5" t="s">
        <v>20</v>
      </c>
      <c r="M184" s="6" t="s">
        <v>23</v>
      </c>
      <c r="N184" s="6" t="str">
        <f t="shared" si="22"/>
        <v>Dst….</v>
      </c>
      <c r="O184" t="b">
        <f t="shared" si="23"/>
        <v>0</v>
      </c>
      <c r="Q184" s="12" t="s">
        <v>790</v>
      </c>
      <c r="R184" s="27">
        <v>3</v>
      </c>
      <c r="S184" s="28">
        <v>11</v>
      </c>
      <c r="T184" s="28">
        <v>1</v>
      </c>
      <c r="U184" s="28">
        <v>26</v>
      </c>
      <c r="V184" s="28">
        <v>4</v>
      </c>
      <c r="W184" s="11" t="s">
        <v>415</v>
      </c>
      <c r="X184" t="str">
        <f t="shared" si="24"/>
        <v>Lain-lain</v>
      </c>
      <c r="Y184" s="13" t="s">
        <v>413</v>
      </c>
      <c r="Z184" s="13">
        <v>153</v>
      </c>
    </row>
    <row r="185" spans="1:26" ht="26.25" customHeight="1" x14ac:dyDescent="0.25">
      <c r="A185" t="s">
        <v>1129</v>
      </c>
      <c r="B185" t="str">
        <f t="shared" si="16"/>
        <v>....</v>
      </c>
      <c r="C185" t="str">
        <f>IF(R185&lt;&gt;"",IF(F185="","Keluar","Berubah"),"Bertambah")</f>
        <v>Bertambah</v>
      </c>
      <c r="D185" t="str">
        <f t="shared" si="18"/>
        <v>1.3.3.01.01.24.</v>
      </c>
      <c r="E185" s="12" t="s">
        <v>791</v>
      </c>
      <c r="F185" s="17">
        <v>1</v>
      </c>
      <c r="G185" s="17">
        <v>3</v>
      </c>
      <c r="H185" s="17">
        <v>3</v>
      </c>
      <c r="I185" s="18" t="s">
        <v>10</v>
      </c>
      <c r="J185" s="18" t="s">
        <v>10</v>
      </c>
      <c r="K185" s="17">
        <v>24</v>
      </c>
      <c r="L185" s="18"/>
      <c r="M185" s="19" t="s">
        <v>173</v>
      </c>
      <c r="N185" s="19" t="str">
        <f t="shared" si="22"/>
        <v>BANGUNAN TEMPAT PERSIDANGAN</v>
      </c>
      <c r="O185" t="b">
        <f t="shared" si="23"/>
        <v>0</v>
      </c>
      <c r="Q185" s="12" t="s">
        <v>791</v>
      </c>
      <c r="R185" s="29"/>
      <c r="S185" s="29"/>
      <c r="T185" s="29"/>
      <c r="U185" s="29"/>
      <c r="V185" s="29"/>
      <c r="W185" s="10"/>
      <c r="X185" t="str">
        <f t="shared" si="24"/>
        <v/>
      </c>
      <c r="Y185" s="10"/>
      <c r="Z185" s="10"/>
    </row>
    <row r="186" spans="1:26" ht="26.25" customHeight="1" x14ac:dyDescent="0.25">
      <c r="A186" t="s">
        <v>1129</v>
      </c>
      <c r="B186" t="str">
        <f t="shared" si="16"/>
        <v>....</v>
      </c>
      <c r="C186" t="str">
        <f t="shared" ref="C186:C249" si="25">IF(R186&lt;&gt;"",IF(F186="","Keluar","Berubah"),"Bertambah")</f>
        <v>Bertambah</v>
      </c>
      <c r="D186" t="str">
        <f t="shared" si="18"/>
        <v>1.3.3.01.01.24.001</v>
      </c>
      <c r="E186" s="12" t="s">
        <v>792</v>
      </c>
      <c r="F186" s="17">
        <v>1</v>
      </c>
      <c r="G186" s="17">
        <v>3</v>
      </c>
      <c r="H186" s="17">
        <v>3</v>
      </c>
      <c r="I186" s="18" t="s">
        <v>10</v>
      </c>
      <c r="J186" s="18" t="s">
        <v>10</v>
      </c>
      <c r="K186" s="17">
        <v>24</v>
      </c>
      <c r="L186" s="18" t="s">
        <v>14</v>
      </c>
      <c r="M186" s="19" t="s">
        <v>174</v>
      </c>
      <c r="N186" s="19" t="str">
        <f t="shared" si="22"/>
        <v>Bangunan Tempat Sidang/Zitting Plaat</v>
      </c>
      <c r="O186" t="b">
        <f t="shared" si="23"/>
        <v>0</v>
      </c>
      <c r="Q186" s="12" t="s">
        <v>792</v>
      </c>
      <c r="R186" s="29"/>
      <c r="S186" s="29"/>
      <c r="T186" s="29"/>
      <c r="U186" s="29"/>
      <c r="V186" s="29"/>
      <c r="W186" s="10"/>
      <c r="X186" t="str">
        <f t="shared" si="24"/>
        <v/>
      </c>
      <c r="Y186" s="10"/>
      <c r="Z186" s="10"/>
    </row>
    <row r="187" spans="1:26" ht="26.25" customHeight="1" x14ac:dyDescent="0.25">
      <c r="A187" t="s">
        <v>1129</v>
      </c>
      <c r="B187" t="str">
        <f t="shared" si="16"/>
        <v>....</v>
      </c>
      <c r="C187" t="str">
        <f t="shared" si="25"/>
        <v>Bertambah</v>
      </c>
      <c r="D187" t="str">
        <f t="shared" si="18"/>
        <v>1.3.3.01.01.24.002</v>
      </c>
      <c r="E187" s="12" t="s">
        <v>793</v>
      </c>
      <c r="F187" s="17">
        <v>1</v>
      </c>
      <c r="G187" s="17">
        <v>3</v>
      </c>
      <c r="H187" s="17">
        <v>3</v>
      </c>
      <c r="I187" s="18" t="s">
        <v>10</v>
      </c>
      <c r="J187" s="18" t="s">
        <v>10</v>
      </c>
      <c r="K187" s="17">
        <v>24</v>
      </c>
      <c r="L187" s="18" t="s">
        <v>16</v>
      </c>
      <c r="M187" s="19" t="s">
        <v>23</v>
      </c>
      <c r="N187" s="19" t="str">
        <f t="shared" si="22"/>
        <v>Dst….</v>
      </c>
      <c r="O187" t="b">
        <f t="shared" si="23"/>
        <v>0</v>
      </c>
      <c r="Q187" s="12" t="s">
        <v>793</v>
      </c>
      <c r="R187" s="29"/>
      <c r="S187" s="29"/>
      <c r="T187" s="29"/>
      <c r="U187" s="29"/>
      <c r="V187" s="29"/>
      <c r="W187" s="10"/>
      <c r="X187" t="str">
        <f t="shared" si="24"/>
        <v/>
      </c>
      <c r="Y187" s="10"/>
      <c r="Z187" s="10"/>
    </row>
    <row r="188" spans="1:26" ht="26.25" customHeight="1" x14ac:dyDescent="0.25">
      <c r="A188" t="s">
        <v>1129</v>
      </c>
      <c r="B188" t="str">
        <f t="shared" si="16"/>
        <v>....</v>
      </c>
      <c r="C188" t="str">
        <f t="shared" si="25"/>
        <v>Bertambah</v>
      </c>
      <c r="D188" t="str">
        <f t="shared" si="18"/>
        <v>1.3.3.01.01.25.</v>
      </c>
      <c r="E188" s="12" t="s">
        <v>794</v>
      </c>
      <c r="F188" s="17">
        <v>1</v>
      </c>
      <c r="G188" s="17">
        <v>3</v>
      </c>
      <c r="H188" s="17">
        <v>3</v>
      </c>
      <c r="I188" s="18" t="s">
        <v>10</v>
      </c>
      <c r="J188" s="18" t="s">
        <v>10</v>
      </c>
      <c r="K188" s="17">
        <v>25</v>
      </c>
      <c r="L188" s="18"/>
      <c r="M188" s="19" t="s">
        <v>175</v>
      </c>
      <c r="N188" s="19" t="str">
        <f t="shared" si="22"/>
        <v>BANGUNAN TERBUKA</v>
      </c>
      <c r="O188" t="b">
        <f t="shared" si="23"/>
        <v>0</v>
      </c>
      <c r="Q188" s="12" t="s">
        <v>794</v>
      </c>
      <c r="R188" s="29"/>
      <c r="S188" s="29"/>
      <c r="T188" s="29"/>
      <c r="U188" s="29"/>
      <c r="V188" s="29"/>
      <c r="W188" s="10"/>
      <c r="X188" t="str">
        <f t="shared" si="24"/>
        <v/>
      </c>
      <c r="Y188" s="10"/>
      <c r="Z188" s="10"/>
    </row>
    <row r="189" spans="1:26" ht="26.25" customHeight="1" x14ac:dyDescent="0.25">
      <c r="A189" t="s">
        <v>1129</v>
      </c>
      <c r="B189" t="str">
        <f t="shared" si="16"/>
        <v>....</v>
      </c>
      <c r="C189" t="str">
        <f t="shared" si="25"/>
        <v>Bertambah</v>
      </c>
      <c r="D189" t="str">
        <f t="shared" si="18"/>
        <v>1.3.3.01.01.25.001</v>
      </c>
      <c r="E189" s="12" t="s">
        <v>795</v>
      </c>
      <c r="F189" s="17">
        <v>1</v>
      </c>
      <c r="G189" s="17">
        <v>3</v>
      </c>
      <c r="H189" s="17">
        <v>3</v>
      </c>
      <c r="I189" s="18" t="s">
        <v>10</v>
      </c>
      <c r="J189" s="18" t="s">
        <v>10</v>
      </c>
      <c r="K189" s="17">
        <v>25</v>
      </c>
      <c r="L189" s="18" t="s">
        <v>14</v>
      </c>
      <c r="M189" s="19" t="s">
        <v>176</v>
      </c>
      <c r="N189" s="19" t="str">
        <f t="shared" si="22"/>
        <v>Bangunan Lantai Jemur Permanen</v>
      </c>
      <c r="O189" t="b">
        <f t="shared" si="23"/>
        <v>0</v>
      </c>
      <c r="Q189" s="12" t="s">
        <v>795</v>
      </c>
      <c r="R189" s="29"/>
      <c r="S189" s="29"/>
      <c r="T189" s="29"/>
      <c r="U189" s="29"/>
      <c r="V189" s="29"/>
      <c r="W189" s="10"/>
      <c r="X189" t="str">
        <f t="shared" si="24"/>
        <v/>
      </c>
      <c r="Y189" s="10"/>
      <c r="Z189" s="10"/>
    </row>
    <row r="190" spans="1:26" ht="26.25" customHeight="1" x14ac:dyDescent="0.25">
      <c r="A190" t="s">
        <v>1129</v>
      </c>
      <c r="B190" t="str">
        <f t="shared" si="16"/>
        <v>....</v>
      </c>
      <c r="C190" t="str">
        <f t="shared" si="25"/>
        <v>Bertambah</v>
      </c>
      <c r="D190" t="str">
        <f t="shared" si="18"/>
        <v>1.3.3.01.01.25.002</v>
      </c>
      <c r="E190" s="12" t="s">
        <v>796</v>
      </c>
      <c r="F190" s="17">
        <v>1</v>
      </c>
      <c r="G190" s="17">
        <v>3</v>
      </c>
      <c r="H190" s="17">
        <v>3</v>
      </c>
      <c r="I190" s="18" t="s">
        <v>10</v>
      </c>
      <c r="J190" s="18" t="s">
        <v>10</v>
      </c>
      <c r="K190" s="17">
        <v>25</v>
      </c>
      <c r="L190" s="18" t="s">
        <v>16</v>
      </c>
      <c r="M190" s="19" t="s">
        <v>177</v>
      </c>
      <c r="N190" s="19" t="str">
        <f t="shared" si="22"/>
        <v>Bangunan Lantai Jemur Semi Permanen</v>
      </c>
      <c r="O190" t="b">
        <f t="shared" si="23"/>
        <v>0</v>
      </c>
      <c r="Q190" s="12" t="s">
        <v>796</v>
      </c>
      <c r="R190" s="29"/>
      <c r="S190" s="29"/>
      <c r="T190" s="29"/>
      <c r="U190" s="29"/>
      <c r="V190" s="29"/>
      <c r="W190" s="10"/>
      <c r="X190" t="str">
        <f t="shared" si="24"/>
        <v/>
      </c>
      <c r="Y190" s="10"/>
      <c r="Z190" s="10"/>
    </row>
    <row r="191" spans="1:26" ht="26.25" customHeight="1" x14ac:dyDescent="0.25">
      <c r="A191" t="s">
        <v>1129</v>
      </c>
      <c r="B191" t="str">
        <f t="shared" si="16"/>
        <v>....</v>
      </c>
      <c r="C191" t="str">
        <f t="shared" si="25"/>
        <v>Bertambah</v>
      </c>
      <c r="D191" t="str">
        <f t="shared" si="18"/>
        <v>1.3.3.01.01.25.003</v>
      </c>
      <c r="E191" s="12" t="s">
        <v>797</v>
      </c>
      <c r="F191" s="17">
        <v>1</v>
      </c>
      <c r="G191" s="17">
        <v>3</v>
      </c>
      <c r="H191" s="17">
        <v>3</v>
      </c>
      <c r="I191" s="18" t="s">
        <v>10</v>
      </c>
      <c r="J191" s="18" t="s">
        <v>10</v>
      </c>
      <c r="K191" s="17">
        <v>25</v>
      </c>
      <c r="L191" s="18" t="s">
        <v>18</v>
      </c>
      <c r="M191" s="19" t="s">
        <v>178</v>
      </c>
      <c r="N191" s="19" t="str">
        <f t="shared" si="22"/>
        <v>Bangunan Lantai Jemur Darurat</v>
      </c>
      <c r="O191" t="b">
        <f t="shared" si="23"/>
        <v>0</v>
      </c>
      <c r="Q191" s="12" t="s">
        <v>797</v>
      </c>
      <c r="R191" s="29"/>
      <c r="S191" s="29"/>
      <c r="T191" s="29"/>
      <c r="U191" s="29"/>
      <c r="V191" s="29"/>
      <c r="W191" s="10"/>
      <c r="X191" t="str">
        <f t="shared" si="24"/>
        <v/>
      </c>
      <c r="Y191" s="10"/>
      <c r="Z191" s="10"/>
    </row>
    <row r="192" spans="1:26" ht="26.25" customHeight="1" x14ac:dyDescent="0.25">
      <c r="A192" t="s">
        <v>1129</v>
      </c>
      <c r="B192" t="str">
        <f t="shared" si="16"/>
        <v>....</v>
      </c>
      <c r="C192" t="str">
        <f t="shared" si="25"/>
        <v>Bertambah</v>
      </c>
      <c r="D192" t="str">
        <f t="shared" si="18"/>
        <v>1.3.3.01.01.25.004</v>
      </c>
      <c r="E192" s="12" t="s">
        <v>798</v>
      </c>
      <c r="F192" s="17">
        <v>1</v>
      </c>
      <c r="G192" s="17">
        <v>3</v>
      </c>
      <c r="H192" s="17">
        <v>3</v>
      </c>
      <c r="I192" s="18" t="s">
        <v>10</v>
      </c>
      <c r="J192" s="18" t="s">
        <v>10</v>
      </c>
      <c r="K192" s="17">
        <v>25</v>
      </c>
      <c r="L192" s="18" t="s">
        <v>20</v>
      </c>
      <c r="M192" s="19" t="s">
        <v>179</v>
      </c>
      <c r="N192" s="19" t="str">
        <f t="shared" si="22"/>
        <v>Selasar</v>
      </c>
      <c r="O192" t="b">
        <f t="shared" si="23"/>
        <v>0</v>
      </c>
      <c r="Q192" s="12" t="s">
        <v>798</v>
      </c>
      <c r="R192" s="29"/>
      <c r="S192" s="29"/>
      <c r="T192" s="29"/>
      <c r="U192" s="29"/>
      <c r="V192" s="29"/>
      <c r="W192" s="10"/>
      <c r="X192" t="str">
        <f t="shared" si="24"/>
        <v/>
      </c>
      <c r="Y192" s="10"/>
      <c r="Z192" s="10"/>
    </row>
    <row r="193" spans="1:26" ht="26.25" customHeight="1" x14ac:dyDescent="0.25">
      <c r="A193" t="s">
        <v>1129</v>
      </c>
      <c r="B193" t="str">
        <f t="shared" si="16"/>
        <v>....</v>
      </c>
      <c r="C193" t="str">
        <f t="shared" si="25"/>
        <v>Bertambah</v>
      </c>
      <c r="D193" t="str">
        <f t="shared" si="18"/>
        <v>1.3.3.01.01.25.005</v>
      </c>
      <c r="E193" s="12" t="s">
        <v>799</v>
      </c>
      <c r="F193" s="17">
        <v>1</v>
      </c>
      <c r="G193" s="17">
        <v>3</v>
      </c>
      <c r="H193" s="17">
        <v>3</v>
      </c>
      <c r="I193" s="18" t="s">
        <v>10</v>
      </c>
      <c r="J193" s="18" t="s">
        <v>10</v>
      </c>
      <c r="K193" s="17">
        <v>25</v>
      </c>
      <c r="L193" s="18" t="s">
        <v>22</v>
      </c>
      <c r="M193" s="19" t="s">
        <v>23</v>
      </c>
      <c r="N193" s="19" t="str">
        <f t="shared" si="22"/>
        <v>Dst….</v>
      </c>
      <c r="O193" t="b">
        <f t="shared" si="23"/>
        <v>0</v>
      </c>
      <c r="Q193" s="12" t="s">
        <v>799</v>
      </c>
      <c r="R193" s="29"/>
      <c r="S193" s="29"/>
      <c r="T193" s="29"/>
      <c r="U193" s="29"/>
      <c r="V193" s="29"/>
      <c r="W193" s="10"/>
      <c r="X193" t="str">
        <f t="shared" si="24"/>
        <v/>
      </c>
      <c r="Y193" s="10"/>
      <c r="Z193" s="10"/>
    </row>
    <row r="194" spans="1:26" ht="26.25" customHeight="1" x14ac:dyDescent="0.25">
      <c r="A194" t="s">
        <v>1129</v>
      </c>
      <c r="B194" t="str">
        <f t="shared" si="16"/>
        <v>....</v>
      </c>
      <c r="C194" t="str">
        <f t="shared" si="25"/>
        <v>Bertambah</v>
      </c>
      <c r="D194" t="str">
        <f t="shared" si="18"/>
        <v>1.3.3.01.01.26.</v>
      </c>
      <c r="E194" s="12" t="s">
        <v>800</v>
      </c>
      <c r="F194" s="17">
        <v>1</v>
      </c>
      <c r="G194" s="17">
        <v>3</v>
      </c>
      <c r="H194" s="17">
        <v>3</v>
      </c>
      <c r="I194" s="18" t="s">
        <v>10</v>
      </c>
      <c r="J194" s="18" t="s">
        <v>10</v>
      </c>
      <c r="K194" s="17">
        <v>26</v>
      </c>
      <c r="L194" s="18"/>
      <c r="M194" s="19" t="s">
        <v>180</v>
      </c>
      <c r="N194" s="19" t="str">
        <f t="shared" si="22"/>
        <v>BANGUNAN PENAMPUNG SEKAM</v>
      </c>
      <c r="O194" t="b">
        <f t="shared" si="23"/>
        <v>0</v>
      </c>
      <c r="Q194" s="12" t="s">
        <v>800</v>
      </c>
      <c r="R194" s="29"/>
      <c r="S194" s="29"/>
      <c r="T194" s="29"/>
      <c r="U194" s="29"/>
      <c r="V194" s="29"/>
      <c r="W194" s="10"/>
      <c r="X194" t="str">
        <f t="shared" si="24"/>
        <v/>
      </c>
      <c r="Y194" s="10"/>
      <c r="Z194" s="10"/>
    </row>
    <row r="195" spans="1:26" ht="26.25" customHeight="1" x14ac:dyDescent="0.25">
      <c r="A195" t="s">
        <v>1129</v>
      </c>
      <c r="B195" t="str">
        <f t="shared" si="16"/>
        <v>....</v>
      </c>
      <c r="C195" t="str">
        <f t="shared" si="25"/>
        <v>Bertambah</v>
      </c>
      <c r="D195" t="str">
        <f t="shared" si="18"/>
        <v>1.3.3.01.01.26.001</v>
      </c>
      <c r="E195" s="12" t="s">
        <v>801</v>
      </c>
      <c r="F195" s="17">
        <v>1</v>
      </c>
      <c r="G195" s="17">
        <v>3</v>
      </c>
      <c r="H195" s="17">
        <v>3</v>
      </c>
      <c r="I195" s="18" t="s">
        <v>10</v>
      </c>
      <c r="J195" s="18" t="s">
        <v>10</v>
      </c>
      <c r="K195" s="17">
        <v>26</v>
      </c>
      <c r="L195" s="18" t="s">
        <v>14</v>
      </c>
      <c r="M195" s="19" t="s">
        <v>181</v>
      </c>
      <c r="N195" s="19" t="str">
        <f t="shared" si="22"/>
        <v>Bangunan Penampung Sekam Permanen</v>
      </c>
      <c r="O195" t="b">
        <f t="shared" si="23"/>
        <v>0</v>
      </c>
      <c r="Q195" s="12" t="s">
        <v>801</v>
      </c>
      <c r="R195" s="29"/>
      <c r="S195" s="29"/>
      <c r="T195" s="29"/>
      <c r="U195" s="29"/>
      <c r="V195" s="29"/>
      <c r="W195" s="10"/>
      <c r="X195" t="str">
        <f t="shared" si="24"/>
        <v/>
      </c>
      <c r="Y195" s="10"/>
      <c r="Z195" s="10"/>
    </row>
    <row r="196" spans="1:26" ht="26.25" customHeight="1" x14ac:dyDescent="0.25">
      <c r="A196" t="s">
        <v>1129</v>
      </c>
      <c r="B196" t="str">
        <f t="shared" si="16"/>
        <v>....</v>
      </c>
      <c r="C196" t="str">
        <f t="shared" si="25"/>
        <v>Bertambah</v>
      </c>
      <c r="D196" t="str">
        <f t="shared" si="18"/>
        <v>1.3.3.01.01.26.002</v>
      </c>
      <c r="E196" s="12" t="s">
        <v>802</v>
      </c>
      <c r="F196" s="17">
        <v>1</v>
      </c>
      <c r="G196" s="17">
        <v>3</v>
      </c>
      <c r="H196" s="17">
        <v>3</v>
      </c>
      <c r="I196" s="18" t="s">
        <v>10</v>
      </c>
      <c r="J196" s="18" t="s">
        <v>10</v>
      </c>
      <c r="K196" s="17">
        <v>26</v>
      </c>
      <c r="L196" s="18" t="s">
        <v>16</v>
      </c>
      <c r="M196" s="19" t="s">
        <v>182</v>
      </c>
      <c r="N196" s="19" t="str">
        <f t="shared" si="22"/>
        <v>Bangunan Penampung Sekam Semi Permanen</v>
      </c>
      <c r="O196" t="b">
        <f t="shared" si="23"/>
        <v>0</v>
      </c>
      <c r="Q196" s="12" t="s">
        <v>802</v>
      </c>
      <c r="R196" s="29"/>
      <c r="S196" s="29"/>
      <c r="T196" s="29"/>
      <c r="U196" s="29"/>
      <c r="V196" s="29"/>
      <c r="W196" s="10"/>
      <c r="X196" t="str">
        <f t="shared" si="24"/>
        <v/>
      </c>
      <c r="Y196" s="10"/>
      <c r="Z196" s="10"/>
    </row>
    <row r="197" spans="1:26" ht="26.25" customHeight="1" x14ac:dyDescent="0.25">
      <c r="A197" t="s">
        <v>1129</v>
      </c>
      <c r="B197" t="str">
        <f t="shared" si="16"/>
        <v>....</v>
      </c>
      <c r="C197" t="str">
        <f t="shared" si="25"/>
        <v>Bertambah</v>
      </c>
      <c r="D197" t="str">
        <f t="shared" si="18"/>
        <v>1.3.3.01.01.26.003</v>
      </c>
      <c r="E197" s="12" t="s">
        <v>803</v>
      </c>
      <c r="F197" s="17">
        <v>1</v>
      </c>
      <c r="G197" s="17">
        <v>3</v>
      </c>
      <c r="H197" s="17">
        <v>3</v>
      </c>
      <c r="I197" s="18" t="s">
        <v>10</v>
      </c>
      <c r="J197" s="18" t="s">
        <v>10</v>
      </c>
      <c r="K197" s="17">
        <v>26</v>
      </c>
      <c r="L197" s="18" t="s">
        <v>18</v>
      </c>
      <c r="M197" s="19" t="s">
        <v>183</v>
      </c>
      <c r="N197" s="19" t="str">
        <f t="shared" si="22"/>
        <v>Bangunan Penampung Sekam Darurat</v>
      </c>
      <c r="O197" t="b">
        <f t="shared" si="23"/>
        <v>0</v>
      </c>
      <c r="Q197" s="12" t="s">
        <v>803</v>
      </c>
      <c r="R197" s="29"/>
      <c r="S197" s="29"/>
      <c r="T197" s="29"/>
      <c r="U197" s="29"/>
      <c r="V197" s="29"/>
      <c r="W197" s="10"/>
      <c r="X197" t="str">
        <f t="shared" si="24"/>
        <v/>
      </c>
      <c r="Y197" s="10"/>
      <c r="Z197" s="10"/>
    </row>
    <row r="198" spans="1:26" ht="26.25" customHeight="1" x14ac:dyDescent="0.25">
      <c r="A198" t="s">
        <v>1129</v>
      </c>
      <c r="B198" t="str">
        <f t="shared" si="16"/>
        <v>....</v>
      </c>
      <c r="C198" t="str">
        <f t="shared" si="25"/>
        <v>Bertambah</v>
      </c>
      <c r="D198" t="str">
        <f t="shared" si="18"/>
        <v>1.3.3.01.01.26.004</v>
      </c>
      <c r="E198" s="12" t="s">
        <v>804</v>
      </c>
      <c r="F198" s="17">
        <v>1</v>
      </c>
      <c r="G198" s="17">
        <v>3</v>
      </c>
      <c r="H198" s="17">
        <v>3</v>
      </c>
      <c r="I198" s="18" t="s">
        <v>10</v>
      </c>
      <c r="J198" s="18" t="s">
        <v>10</v>
      </c>
      <c r="K198" s="17">
        <v>26</v>
      </c>
      <c r="L198" s="18" t="s">
        <v>20</v>
      </c>
      <c r="M198" s="19" t="s">
        <v>23</v>
      </c>
      <c r="N198" s="19" t="str">
        <f t="shared" si="22"/>
        <v>Dst….</v>
      </c>
      <c r="O198" t="b">
        <f t="shared" si="23"/>
        <v>0</v>
      </c>
      <c r="Q198" s="12" t="s">
        <v>804</v>
      </c>
      <c r="R198" s="29"/>
      <c r="S198" s="29"/>
      <c r="T198" s="29"/>
      <c r="U198" s="29"/>
      <c r="V198" s="29"/>
      <c r="W198" s="10"/>
      <c r="X198" t="str">
        <f t="shared" si="24"/>
        <v/>
      </c>
      <c r="Y198" s="10"/>
      <c r="Z198" s="10"/>
    </row>
    <row r="199" spans="1:26" ht="26.25" customHeight="1" x14ac:dyDescent="0.25">
      <c r="A199" t="s">
        <v>1129</v>
      </c>
      <c r="B199" t="str">
        <f t="shared" ref="B199:B262" si="26">R199&amp;"."&amp;S199&amp;"."&amp;T199&amp;"."&amp;U199&amp;"."&amp;V199</f>
        <v>....</v>
      </c>
      <c r="C199" t="str">
        <f t="shared" si="25"/>
        <v>Bertambah</v>
      </c>
      <c r="D199" t="str">
        <f t="shared" si="18"/>
        <v>1.3.3.01.01.27.</v>
      </c>
      <c r="E199" s="12" t="s">
        <v>805</v>
      </c>
      <c r="F199" s="17">
        <v>1</v>
      </c>
      <c r="G199" s="17">
        <v>3</v>
      </c>
      <c r="H199" s="17">
        <v>3</v>
      </c>
      <c r="I199" s="18" t="s">
        <v>10</v>
      </c>
      <c r="J199" s="18" t="s">
        <v>10</v>
      </c>
      <c r="K199" s="17">
        <v>27</v>
      </c>
      <c r="L199" s="18"/>
      <c r="M199" s="19" t="s">
        <v>184</v>
      </c>
      <c r="N199" s="19" t="str">
        <f t="shared" si="22"/>
        <v>BANGUNAN TEMPAT PELELANGAN IKAN (TPI)</v>
      </c>
      <c r="O199" t="b">
        <f t="shared" si="23"/>
        <v>0</v>
      </c>
      <c r="Q199" s="12" t="s">
        <v>805</v>
      </c>
      <c r="R199" s="29"/>
      <c r="S199" s="29"/>
      <c r="T199" s="29"/>
      <c r="U199" s="29"/>
      <c r="V199" s="29"/>
      <c r="W199" s="10"/>
      <c r="X199" t="str">
        <f t="shared" si="24"/>
        <v/>
      </c>
      <c r="Y199" s="10"/>
      <c r="Z199" s="10"/>
    </row>
    <row r="200" spans="1:26" ht="26.25" customHeight="1" x14ac:dyDescent="0.25">
      <c r="A200" t="s">
        <v>1129</v>
      </c>
      <c r="B200" t="str">
        <f t="shared" si="26"/>
        <v>....</v>
      </c>
      <c r="C200" t="str">
        <f t="shared" si="25"/>
        <v>Bertambah</v>
      </c>
      <c r="D200" t="str">
        <f t="shared" ref="D200:D263" si="27">F200&amp;"."&amp;G200&amp;"."&amp;H200&amp;"."&amp;I200&amp;"."&amp;J200&amp;"."&amp;K200&amp;"."&amp;L200</f>
        <v>1.3.3.01.01.27.001</v>
      </c>
      <c r="E200" s="12" t="s">
        <v>806</v>
      </c>
      <c r="F200" s="17">
        <v>1</v>
      </c>
      <c r="G200" s="17">
        <v>3</v>
      </c>
      <c r="H200" s="17">
        <v>3</v>
      </c>
      <c r="I200" s="18" t="s">
        <v>10</v>
      </c>
      <c r="J200" s="18" t="s">
        <v>10</v>
      </c>
      <c r="K200" s="17">
        <v>27</v>
      </c>
      <c r="L200" s="18" t="s">
        <v>14</v>
      </c>
      <c r="M200" s="19" t="s">
        <v>185</v>
      </c>
      <c r="N200" s="19" t="str">
        <f t="shared" si="22"/>
        <v>Bangunan TPI Permanen</v>
      </c>
      <c r="O200" t="b">
        <f t="shared" si="23"/>
        <v>0</v>
      </c>
      <c r="Q200" s="12" t="s">
        <v>806</v>
      </c>
      <c r="R200" s="29"/>
      <c r="S200" s="29"/>
      <c r="T200" s="29"/>
      <c r="U200" s="29"/>
      <c r="V200" s="29"/>
      <c r="W200" s="10"/>
      <c r="X200" t="str">
        <f t="shared" si="24"/>
        <v/>
      </c>
      <c r="Y200" s="10"/>
      <c r="Z200" s="10"/>
    </row>
    <row r="201" spans="1:26" ht="26.25" customHeight="1" x14ac:dyDescent="0.25">
      <c r="A201" t="s">
        <v>1129</v>
      </c>
      <c r="B201" t="str">
        <f t="shared" si="26"/>
        <v>....</v>
      </c>
      <c r="C201" t="str">
        <f t="shared" si="25"/>
        <v>Bertambah</v>
      </c>
      <c r="D201" t="str">
        <f t="shared" si="27"/>
        <v>1.3.3.01.01.27.002</v>
      </c>
      <c r="E201" s="12" t="s">
        <v>807</v>
      </c>
      <c r="F201" s="17">
        <v>1</v>
      </c>
      <c r="G201" s="17">
        <v>3</v>
      </c>
      <c r="H201" s="17">
        <v>3</v>
      </c>
      <c r="I201" s="18" t="s">
        <v>10</v>
      </c>
      <c r="J201" s="18" t="s">
        <v>10</v>
      </c>
      <c r="K201" s="17">
        <v>27</v>
      </c>
      <c r="L201" s="18" t="s">
        <v>16</v>
      </c>
      <c r="M201" s="19" t="s">
        <v>186</v>
      </c>
      <c r="N201" s="19" t="str">
        <f t="shared" si="22"/>
        <v>Bangunan TPI Semi Permanen</v>
      </c>
      <c r="O201" t="b">
        <f t="shared" si="23"/>
        <v>0</v>
      </c>
      <c r="Q201" s="12" t="s">
        <v>807</v>
      </c>
      <c r="R201" s="29"/>
      <c r="S201" s="29"/>
      <c r="T201" s="29"/>
      <c r="U201" s="29"/>
      <c r="V201" s="29"/>
      <c r="W201" s="10"/>
      <c r="X201" t="str">
        <f t="shared" si="24"/>
        <v/>
      </c>
      <c r="Y201" s="10"/>
      <c r="Z201" s="10"/>
    </row>
    <row r="202" spans="1:26" ht="26.25" customHeight="1" x14ac:dyDescent="0.25">
      <c r="A202" t="s">
        <v>1129</v>
      </c>
      <c r="B202" t="str">
        <f t="shared" si="26"/>
        <v>....</v>
      </c>
      <c r="C202" t="str">
        <f t="shared" si="25"/>
        <v>Bertambah</v>
      </c>
      <c r="D202" t="str">
        <f t="shared" si="27"/>
        <v>1.3.3.01.01.27.003</v>
      </c>
      <c r="E202" s="12" t="s">
        <v>808</v>
      </c>
      <c r="F202" s="17">
        <v>1</v>
      </c>
      <c r="G202" s="17">
        <v>3</v>
      </c>
      <c r="H202" s="17">
        <v>3</v>
      </c>
      <c r="I202" s="18" t="s">
        <v>10</v>
      </c>
      <c r="J202" s="18" t="s">
        <v>10</v>
      </c>
      <c r="K202" s="17">
        <v>27</v>
      </c>
      <c r="L202" s="18" t="s">
        <v>18</v>
      </c>
      <c r="M202" s="19" t="s">
        <v>187</v>
      </c>
      <c r="N202" s="19" t="str">
        <f t="shared" si="22"/>
        <v>Bangunan TPI Darurat</v>
      </c>
      <c r="O202" t="b">
        <f t="shared" si="23"/>
        <v>0</v>
      </c>
      <c r="Q202" s="12" t="s">
        <v>808</v>
      </c>
      <c r="R202" s="29"/>
      <c r="S202" s="29"/>
      <c r="T202" s="29"/>
      <c r="U202" s="29"/>
      <c r="V202" s="29"/>
      <c r="W202" s="10"/>
      <c r="X202" t="str">
        <f t="shared" si="24"/>
        <v/>
      </c>
      <c r="Y202" s="10"/>
      <c r="Z202" s="10"/>
    </row>
    <row r="203" spans="1:26" ht="26.25" customHeight="1" x14ac:dyDescent="0.25">
      <c r="A203" t="s">
        <v>1129</v>
      </c>
      <c r="B203" t="str">
        <f t="shared" si="26"/>
        <v>....</v>
      </c>
      <c r="C203" t="str">
        <f t="shared" si="25"/>
        <v>Bertambah</v>
      </c>
      <c r="D203" t="str">
        <f t="shared" si="27"/>
        <v>1.3.3.01.01.27.004</v>
      </c>
      <c r="E203" s="12" t="s">
        <v>809</v>
      </c>
      <c r="F203" s="17">
        <v>1</v>
      </c>
      <c r="G203" s="17">
        <v>3</v>
      </c>
      <c r="H203" s="17">
        <v>3</v>
      </c>
      <c r="I203" s="18" t="s">
        <v>10</v>
      </c>
      <c r="J203" s="18" t="s">
        <v>10</v>
      </c>
      <c r="K203" s="17">
        <v>27</v>
      </c>
      <c r="L203" s="18" t="s">
        <v>20</v>
      </c>
      <c r="M203" s="19" t="s">
        <v>23</v>
      </c>
      <c r="N203" s="19" t="str">
        <f t="shared" si="22"/>
        <v>Dst….</v>
      </c>
      <c r="O203" t="b">
        <f t="shared" si="23"/>
        <v>0</v>
      </c>
      <c r="Q203" s="12" t="s">
        <v>809</v>
      </c>
      <c r="R203" s="29"/>
      <c r="S203" s="29"/>
      <c r="T203" s="29"/>
      <c r="U203" s="29"/>
      <c r="V203" s="29"/>
      <c r="W203" s="10"/>
      <c r="X203" t="str">
        <f t="shared" si="24"/>
        <v/>
      </c>
      <c r="Y203" s="10"/>
      <c r="Z203" s="10"/>
    </row>
    <row r="204" spans="1:26" ht="26.25" customHeight="1" x14ac:dyDescent="0.25">
      <c r="A204" t="s">
        <v>1129</v>
      </c>
      <c r="B204" t="str">
        <f t="shared" si="26"/>
        <v>....</v>
      </c>
      <c r="C204" t="str">
        <f t="shared" si="25"/>
        <v>Bertambah</v>
      </c>
      <c r="D204" t="str">
        <f t="shared" si="27"/>
        <v>1.3.3.01.01.28.</v>
      </c>
      <c r="E204" s="12" t="s">
        <v>810</v>
      </c>
      <c r="F204" s="17">
        <v>1</v>
      </c>
      <c r="G204" s="17">
        <v>3</v>
      </c>
      <c r="H204" s="17">
        <v>3</v>
      </c>
      <c r="I204" s="18" t="s">
        <v>10</v>
      </c>
      <c r="J204" s="18" t="s">
        <v>10</v>
      </c>
      <c r="K204" s="17">
        <v>28</v>
      </c>
      <c r="L204" s="18"/>
      <c r="M204" s="19" t="s">
        <v>188</v>
      </c>
      <c r="N204" s="19" t="str">
        <f t="shared" si="22"/>
        <v>BANGUNAN INDUSTRI</v>
      </c>
      <c r="O204" t="b">
        <f t="shared" si="23"/>
        <v>0</v>
      </c>
      <c r="Q204" s="12" t="s">
        <v>810</v>
      </c>
      <c r="R204" s="29"/>
      <c r="S204" s="29"/>
      <c r="T204" s="29"/>
      <c r="U204" s="29"/>
      <c r="V204" s="29"/>
      <c r="W204" s="10"/>
      <c r="X204" t="str">
        <f t="shared" si="24"/>
        <v/>
      </c>
      <c r="Y204" s="10"/>
      <c r="Z204" s="10"/>
    </row>
    <row r="205" spans="1:26" ht="26.25" customHeight="1" x14ac:dyDescent="0.25">
      <c r="A205" t="s">
        <v>1129</v>
      </c>
      <c r="B205" t="str">
        <f t="shared" si="26"/>
        <v>....</v>
      </c>
      <c r="C205" t="str">
        <f t="shared" si="25"/>
        <v>Bertambah</v>
      </c>
      <c r="D205" t="str">
        <f t="shared" si="27"/>
        <v>1.3.3.01.01.28.001</v>
      </c>
      <c r="E205" s="12" t="s">
        <v>811</v>
      </c>
      <c r="F205" s="17">
        <v>1</v>
      </c>
      <c r="G205" s="17">
        <v>3</v>
      </c>
      <c r="H205" s="17">
        <v>3</v>
      </c>
      <c r="I205" s="18" t="s">
        <v>10</v>
      </c>
      <c r="J205" s="18" t="s">
        <v>10</v>
      </c>
      <c r="K205" s="17">
        <v>28</v>
      </c>
      <c r="L205" s="18" t="s">
        <v>14</v>
      </c>
      <c r="M205" s="19" t="s">
        <v>189</v>
      </c>
      <c r="N205" s="19" t="str">
        <f t="shared" si="22"/>
        <v>Bangunan Industri Makanan</v>
      </c>
      <c r="O205" t="b">
        <f t="shared" si="23"/>
        <v>0</v>
      </c>
      <c r="Q205" s="12" t="s">
        <v>811</v>
      </c>
      <c r="R205" s="29"/>
      <c r="S205" s="29"/>
      <c r="T205" s="29"/>
      <c r="U205" s="29"/>
      <c r="V205" s="29"/>
      <c r="W205" s="10"/>
      <c r="X205" t="str">
        <f t="shared" si="24"/>
        <v/>
      </c>
      <c r="Y205" s="10"/>
      <c r="Z205" s="10"/>
    </row>
    <row r="206" spans="1:26" ht="26.25" customHeight="1" x14ac:dyDescent="0.25">
      <c r="A206" t="s">
        <v>1129</v>
      </c>
      <c r="B206" t="str">
        <f t="shared" si="26"/>
        <v>....</v>
      </c>
      <c r="C206" t="str">
        <f t="shared" si="25"/>
        <v>Bertambah</v>
      </c>
      <c r="D206" t="str">
        <f t="shared" si="27"/>
        <v>1.3.3.01.01.28.002</v>
      </c>
      <c r="E206" s="12" t="s">
        <v>812</v>
      </c>
      <c r="F206" s="17">
        <v>1</v>
      </c>
      <c r="G206" s="17">
        <v>3</v>
      </c>
      <c r="H206" s="17">
        <v>3</v>
      </c>
      <c r="I206" s="18" t="s">
        <v>10</v>
      </c>
      <c r="J206" s="18" t="s">
        <v>10</v>
      </c>
      <c r="K206" s="17">
        <v>28</v>
      </c>
      <c r="L206" s="18" t="s">
        <v>16</v>
      </c>
      <c r="M206" s="19" t="s">
        <v>190</v>
      </c>
      <c r="N206" s="19" t="str">
        <f t="shared" si="22"/>
        <v>Bangunan Industri Minuman</v>
      </c>
      <c r="O206" t="b">
        <f t="shared" si="23"/>
        <v>0</v>
      </c>
      <c r="Q206" s="12" t="s">
        <v>812</v>
      </c>
      <c r="R206" s="29"/>
      <c r="S206" s="29"/>
      <c r="T206" s="29"/>
      <c r="U206" s="29"/>
      <c r="V206" s="29"/>
      <c r="W206" s="10"/>
      <c r="X206" t="str">
        <f t="shared" si="24"/>
        <v/>
      </c>
      <c r="Y206" s="10"/>
      <c r="Z206" s="10"/>
    </row>
    <row r="207" spans="1:26" ht="26.25" customHeight="1" x14ac:dyDescent="0.25">
      <c r="A207" t="s">
        <v>1129</v>
      </c>
      <c r="B207" t="str">
        <f t="shared" si="26"/>
        <v>....</v>
      </c>
      <c r="C207" t="str">
        <f t="shared" si="25"/>
        <v>Bertambah</v>
      </c>
      <c r="D207" t="str">
        <f t="shared" si="27"/>
        <v>1.3.3.01.01.28.003</v>
      </c>
      <c r="E207" s="12" t="s">
        <v>813</v>
      </c>
      <c r="F207" s="17">
        <v>1</v>
      </c>
      <c r="G207" s="17">
        <v>3</v>
      </c>
      <c r="H207" s="17">
        <v>3</v>
      </c>
      <c r="I207" s="18" t="s">
        <v>10</v>
      </c>
      <c r="J207" s="18" t="s">
        <v>10</v>
      </c>
      <c r="K207" s="17">
        <v>28</v>
      </c>
      <c r="L207" s="18" t="s">
        <v>18</v>
      </c>
      <c r="M207" s="19" t="s">
        <v>191</v>
      </c>
      <c r="N207" s="19" t="str">
        <f t="shared" si="22"/>
        <v>Bangunan Industri alat RT</v>
      </c>
      <c r="O207" t="b">
        <f t="shared" si="23"/>
        <v>0</v>
      </c>
      <c r="Q207" s="12" t="s">
        <v>813</v>
      </c>
      <c r="R207" s="29"/>
      <c r="S207" s="29"/>
      <c r="T207" s="29"/>
      <c r="U207" s="29"/>
      <c r="V207" s="29"/>
      <c r="W207" s="10"/>
      <c r="X207" t="str">
        <f t="shared" si="24"/>
        <v/>
      </c>
      <c r="Y207" s="10"/>
      <c r="Z207" s="10"/>
    </row>
    <row r="208" spans="1:26" ht="26.25" customHeight="1" x14ac:dyDescent="0.25">
      <c r="A208" t="s">
        <v>1129</v>
      </c>
      <c r="B208" t="str">
        <f t="shared" si="26"/>
        <v>....</v>
      </c>
      <c r="C208" t="str">
        <f t="shared" si="25"/>
        <v>Bertambah</v>
      </c>
      <c r="D208" t="str">
        <f t="shared" si="27"/>
        <v>1.3.3.01.01.28.004</v>
      </c>
      <c r="E208" s="12" t="s">
        <v>814</v>
      </c>
      <c r="F208" s="17">
        <v>1</v>
      </c>
      <c r="G208" s="17">
        <v>3</v>
      </c>
      <c r="H208" s="17">
        <v>3</v>
      </c>
      <c r="I208" s="18" t="s">
        <v>10</v>
      </c>
      <c r="J208" s="18" t="s">
        <v>10</v>
      </c>
      <c r="K208" s="17">
        <v>28</v>
      </c>
      <c r="L208" s="18" t="s">
        <v>20</v>
      </c>
      <c r="M208" s="19" t="s">
        <v>192</v>
      </c>
      <c r="N208" s="19" t="str">
        <f t="shared" si="22"/>
        <v>Bangunan Industri Pakaian/Garment</v>
      </c>
      <c r="O208" t="b">
        <f t="shared" si="23"/>
        <v>0</v>
      </c>
      <c r="Q208" s="12" t="s">
        <v>814</v>
      </c>
      <c r="R208" s="29"/>
      <c r="S208" s="29"/>
      <c r="T208" s="29"/>
      <c r="U208" s="29"/>
      <c r="V208" s="29"/>
      <c r="W208" s="10"/>
      <c r="X208" t="str">
        <f t="shared" si="24"/>
        <v/>
      </c>
      <c r="Y208" s="10"/>
      <c r="Z208" s="10"/>
    </row>
    <row r="209" spans="1:26" ht="26.25" customHeight="1" x14ac:dyDescent="0.25">
      <c r="A209" t="s">
        <v>1129</v>
      </c>
      <c r="B209" t="str">
        <f t="shared" si="26"/>
        <v>....</v>
      </c>
      <c r="C209" t="str">
        <f t="shared" si="25"/>
        <v>Bertambah</v>
      </c>
      <c r="D209" t="str">
        <f t="shared" si="27"/>
        <v>1.3.3.01.01.28.005</v>
      </c>
      <c r="E209" s="12" t="s">
        <v>815</v>
      </c>
      <c r="F209" s="17">
        <v>1</v>
      </c>
      <c r="G209" s="17">
        <v>3</v>
      </c>
      <c r="H209" s="17">
        <v>3</v>
      </c>
      <c r="I209" s="18" t="s">
        <v>10</v>
      </c>
      <c r="J209" s="18" t="s">
        <v>10</v>
      </c>
      <c r="K209" s="17">
        <v>28</v>
      </c>
      <c r="L209" s="18" t="s">
        <v>22</v>
      </c>
      <c r="M209" s="19" t="s">
        <v>193</v>
      </c>
      <c r="N209" s="19" t="str">
        <f t="shared" si="22"/>
        <v>Bangunan Industri Baja/Besi/Logam</v>
      </c>
      <c r="O209" t="b">
        <f t="shared" si="23"/>
        <v>0</v>
      </c>
      <c r="Q209" s="12" t="s">
        <v>815</v>
      </c>
      <c r="R209" s="29"/>
      <c r="S209" s="29"/>
      <c r="T209" s="29"/>
      <c r="U209" s="29"/>
      <c r="V209" s="29"/>
      <c r="W209" s="10"/>
      <c r="X209" t="str">
        <f t="shared" si="24"/>
        <v/>
      </c>
      <c r="Y209" s="10"/>
      <c r="Z209" s="10"/>
    </row>
    <row r="210" spans="1:26" ht="26.25" customHeight="1" x14ac:dyDescent="0.25">
      <c r="A210" t="s">
        <v>1129</v>
      </c>
      <c r="B210" t="str">
        <f t="shared" si="26"/>
        <v>....</v>
      </c>
      <c r="C210" t="str">
        <f t="shared" si="25"/>
        <v>Bertambah</v>
      </c>
      <c r="D210" t="str">
        <f t="shared" si="27"/>
        <v>1.3.3.01.01.28.006</v>
      </c>
      <c r="E210" s="12" t="s">
        <v>816</v>
      </c>
      <c r="F210" s="17">
        <v>1</v>
      </c>
      <c r="G210" s="17">
        <v>3</v>
      </c>
      <c r="H210" s="17">
        <v>3</v>
      </c>
      <c r="I210" s="18" t="s">
        <v>10</v>
      </c>
      <c r="J210" s="18" t="s">
        <v>10</v>
      </c>
      <c r="K210" s="17">
        <v>28</v>
      </c>
      <c r="L210" s="18" t="s">
        <v>31</v>
      </c>
      <c r="M210" s="19" t="s">
        <v>194</v>
      </c>
      <c r="N210" s="19" t="str">
        <f t="shared" si="22"/>
        <v>Bangunan Industri Pengemasan</v>
      </c>
      <c r="O210" t="b">
        <f t="shared" si="23"/>
        <v>0</v>
      </c>
      <c r="Q210" s="12" t="s">
        <v>816</v>
      </c>
      <c r="R210" s="29"/>
      <c r="S210" s="29"/>
      <c r="T210" s="29"/>
      <c r="U210" s="29"/>
      <c r="V210" s="29"/>
      <c r="W210" s="10"/>
      <c r="X210" t="str">
        <f t="shared" si="24"/>
        <v/>
      </c>
      <c r="Y210" s="10"/>
      <c r="Z210" s="10"/>
    </row>
    <row r="211" spans="1:26" ht="26.25" customHeight="1" x14ac:dyDescent="0.25">
      <c r="A211" t="s">
        <v>1129</v>
      </c>
      <c r="B211" t="str">
        <f t="shared" si="26"/>
        <v>....</v>
      </c>
      <c r="C211" t="str">
        <f t="shared" si="25"/>
        <v>Bertambah</v>
      </c>
      <c r="D211" t="str">
        <f t="shared" si="27"/>
        <v>1.3.3.01.01.28.007</v>
      </c>
      <c r="E211" s="12" t="s">
        <v>817</v>
      </c>
      <c r="F211" s="17">
        <v>1</v>
      </c>
      <c r="G211" s="17">
        <v>3</v>
      </c>
      <c r="H211" s="17">
        <v>3</v>
      </c>
      <c r="I211" s="18" t="s">
        <v>10</v>
      </c>
      <c r="J211" s="18" t="s">
        <v>10</v>
      </c>
      <c r="K211" s="17">
        <v>28</v>
      </c>
      <c r="L211" s="18" t="s">
        <v>33</v>
      </c>
      <c r="M211" s="19" t="s">
        <v>195</v>
      </c>
      <c r="N211" s="19" t="str">
        <f t="shared" si="22"/>
        <v>Bangunan Industri Bengkel</v>
      </c>
      <c r="O211" t="b">
        <f t="shared" ref="O211:O234" si="28">M211=W211</f>
        <v>0</v>
      </c>
      <c r="Q211" s="12" t="s">
        <v>817</v>
      </c>
      <c r="R211" s="29"/>
      <c r="S211" s="29"/>
      <c r="T211" s="29"/>
      <c r="U211" s="29"/>
      <c r="V211" s="29"/>
      <c r="W211" s="10"/>
      <c r="X211" t="str">
        <f t="shared" si="24"/>
        <v/>
      </c>
      <c r="Y211" s="10"/>
      <c r="Z211" s="10"/>
    </row>
    <row r="212" spans="1:26" ht="26.25" customHeight="1" x14ac:dyDescent="0.25">
      <c r="A212" t="s">
        <v>1129</v>
      </c>
      <c r="B212" t="str">
        <f t="shared" si="26"/>
        <v>....</v>
      </c>
      <c r="C212" t="str">
        <f t="shared" si="25"/>
        <v>Bertambah</v>
      </c>
      <c r="D212" t="str">
        <f t="shared" si="27"/>
        <v>1.3.3.01.01.28.008</v>
      </c>
      <c r="E212" s="12" t="s">
        <v>818</v>
      </c>
      <c r="F212" s="17">
        <v>1</v>
      </c>
      <c r="G212" s="17">
        <v>3</v>
      </c>
      <c r="H212" s="17">
        <v>3</v>
      </c>
      <c r="I212" s="18" t="s">
        <v>10</v>
      </c>
      <c r="J212" s="18" t="s">
        <v>10</v>
      </c>
      <c r="K212" s="17">
        <v>28</v>
      </c>
      <c r="L212" s="18" t="s">
        <v>35</v>
      </c>
      <c r="M212" s="19" t="s">
        <v>196</v>
      </c>
      <c r="N212" s="19" t="str">
        <f t="shared" si="22"/>
        <v>Bangunan Industri Penyulingan Minyak</v>
      </c>
      <c r="O212" t="b">
        <f t="shared" si="28"/>
        <v>0</v>
      </c>
      <c r="Q212" s="12" t="s">
        <v>818</v>
      </c>
      <c r="R212" s="29"/>
      <c r="S212" s="29"/>
      <c r="T212" s="29"/>
      <c r="U212" s="29"/>
      <c r="V212" s="29"/>
      <c r="W212" s="10"/>
      <c r="X212" t="str">
        <f t="shared" si="24"/>
        <v/>
      </c>
      <c r="Y212" s="10"/>
      <c r="Z212" s="10"/>
    </row>
    <row r="213" spans="1:26" ht="26.25" customHeight="1" x14ac:dyDescent="0.25">
      <c r="A213" t="s">
        <v>1129</v>
      </c>
      <c r="B213" t="str">
        <f t="shared" si="26"/>
        <v>....</v>
      </c>
      <c r="C213" t="str">
        <f t="shared" si="25"/>
        <v>Bertambah</v>
      </c>
      <c r="D213" t="str">
        <f t="shared" si="27"/>
        <v>1.3.3.01.01.28.009</v>
      </c>
      <c r="E213" s="12" t="s">
        <v>819</v>
      </c>
      <c r="F213" s="17">
        <v>1</v>
      </c>
      <c r="G213" s="17">
        <v>3</v>
      </c>
      <c r="H213" s="17">
        <v>3</v>
      </c>
      <c r="I213" s="18" t="s">
        <v>10</v>
      </c>
      <c r="J213" s="18" t="s">
        <v>10</v>
      </c>
      <c r="K213" s="17">
        <v>28</v>
      </c>
      <c r="L213" s="18" t="s">
        <v>37</v>
      </c>
      <c r="M213" s="19" t="s">
        <v>197</v>
      </c>
      <c r="N213" s="19" t="str">
        <f t="shared" si="22"/>
        <v>Bangunan Industri Kimia Dan Pupuk</v>
      </c>
      <c r="O213" t="b">
        <f t="shared" si="28"/>
        <v>0</v>
      </c>
      <c r="Q213" s="12" t="s">
        <v>819</v>
      </c>
      <c r="R213" s="29"/>
      <c r="S213" s="29"/>
      <c r="T213" s="29"/>
      <c r="U213" s="29"/>
      <c r="V213" s="29"/>
      <c r="W213" s="10"/>
      <c r="X213" t="str">
        <f t="shared" si="24"/>
        <v/>
      </c>
      <c r="Y213" s="10"/>
      <c r="Z213" s="10"/>
    </row>
    <row r="214" spans="1:26" ht="26.25" customHeight="1" x14ac:dyDescent="0.25">
      <c r="A214" t="s">
        <v>1129</v>
      </c>
      <c r="B214" t="str">
        <f t="shared" si="26"/>
        <v>....</v>
      </c>
      <c r="C214" t="str">
        <f t="shared" si="25"/>
        <v>Bertambah</v>
      </c>
      <c r="D214" t="str">
        <f t="shared" si="27"/>
        <v>1.3.3.01.01.28.010</v>
      </c>
      <c r="E214" s="12" t="s">
        <v>820</v>
      </c>
      <c r="F214" s="17">
        <v>1</v>
      </c>
      <c r="G214" s="17">
        <v>3</v>
      </c>
      <c r="H214" s="17">
        <v>3</v>
      </c>
      <c r="I214" s="18" t="s">
        <v>10</v>
      </c>
      <c r="J214" s="18" t="s">
        <v>10</v>
      </c>
      <c r="K214" s="17">
        <v>28</v>
      </c>
      <c r="L214" s="18" t="s">
        <v>39</v>
      </c>
      <c r="M214" s="19" t="s">
        <v>198</v>
      </c>
      <c r="N214" s="19" t="str">
        <f t="shared" si="22"/>
        <v>Bangunan Industri Obat-Obatan</v>
      </c>
      <c r="O214" t="b">
        <f t="shared" si="28"/>
        <v>0</v>
      </c>
      <c r="Q214" s="12" t="s">
        <v>820</v>
      </c>
      <c r="R214" s="29"/>
      <c r="S214" s="29"/>
      <c r="T214" s="29"/>
      <c r="U214" s="29"/>
      <c r="V214" s="29"/>
      <c r="W214" s="10"/>
      <c r="X214" t="str">
        <f t="shared" si="24"/>
        <v/>
      </c>
      <c r="Y214" s="10"/>
      <c r="Z214" s="10"/>
    </row>
    <row r="215" spans="1:26" ht="26.25" customHeight="1" x14ac:dyDescent="0.25">
      <c r="A215" t="s">
        <v>1129</v>
      </c>
      <c r="B215" t="str">
        <f t="shared" si="26"/>
        <v>....</v>
      </c>
      <c r="C215" t="str">
        <f t="shared" si="25"/>
        <v>Bertambah</v>
      </c>
      <c r="D215" t="str">
        <f t="shared" si="27"/>
        <v>1.3.3.01.01.28.011</v>
      </c>
      <c r="E215" s="12" t="s">
        <v>821</v>
      </c>
      <c r="F215" s="17">
        <v>1</v>
      </c>
      <c r="G215" s="17">
        <v>3</v>
      </c>
      <c r="H215" s="17">
        <v>3</v>
      </c>
      <c r="I215" s="18" t="s">
        <v>10</v>
      </c>
      <c r="J215" s="18" t="s">
        <v>10</v>
      </c>
      <c r="K215" s="17">
        <v>28</v>
      </c>
      <c r="L215" s="18" t="s">
        <v>41</v>
      </c>
      <c r="M215" s="19" t="s">
        <v>199</v>
      </c>
      <c r="N215" s="19" t="str">
        <f t="shared" si="22"/>
        <v>Bangunan Industri Semen</v>
      </c>
      <c r="O215" t="b">
        <f t="shared" si="28"/>
        <v>0</v>
      </c>
      <c r="Q215" s="12" t="s">
        <v>821</v>
      </c>
      <c r="R215" s="29"/>
      <c r="S215" s="29"/>
      <c r="T215" s="29"/>
      <c r="U215" s="29"/>
      <c r="V215" s="29"/>
      <c r="W215" s="10"/>
      <c r="X215" t="str">
        <f t="shared" si="24"/>
        <v/>
      </c>
      <c r="Y215" s="10"/>
      <c r="Z215" s="10"/>
    </row>
    <row r="216" spans="1:26" ht="26.25" customHeight="1" x14ac:dyDescent="0.25">
      <c r="A216" t="s">
        <v>1129</v>
      </c>
      <c r="B216" t="str">
        <f t="shared" si="26"/>
        <v>....</v>
      </c>
      <c r="C216" t="str">
        <f t="shared" si="25"/>
        <v>Bertambah</v>
      </c>
      <c r="D216" t="str">
        <f t="shared" si="27"/>
        <v>1.3.3.01.01.28.012</v>
      </c>
      <c r="E216" s="12" t="s">
        <v>822</v>
      </c>
      <c r="F216" s="17">
        <v>1</v>
      </c>
      <c r="G216" s="17">
        <v>3</v>
      </c>
      <c r="H216" s="17">
        <v>3</v>
      </c>
      <c r="I216" s="18" t="s">
        <v>10</v>
      </c>
      <c r="J216" s="18" t="s">
        <v>10</v>
      </c>
      <c r="K216" s="17">
        <v>28</v>
      </c>
      <c r="L216" s="18" t="s">
        <v>43</v>
      </c>
      <c r="M216" s="19" t="s">
        <v>200</v>
      </c>
      <c r="N216" s="19" t="str">
        <f t="shared" si="22"/>
        <v>Bangunan Industri Batu-Bata/Batako</v>
      </c>
      <c r="O216" t="b">
        <f t="shared" si="28"/>
        <v>0</v>
      </c>
      <c r="Q216" s="12" t="s">
        <v>822</v>
      </c>
      <c r="R216" s="29"/>
      <c r="S216" s="29"/>
      <c r="T216" s="29"/>
      <c r="U216" s="29"/>
      <c r="V216" s="29"/>
      <c r="W216" s="10"/>
      <c r="X216" t="str">
        <f t="shared" si="24"/>
        <v/>
      </c>
      <c r="Y216" s="10"/>
      <c r="Z216" s="10"/>
    </row>
    <row r="217" spans="1:26" ht="26.25" customHeight="1" x14ac:dyDescent="0.25">
      <c r="A217" t="s">
        <v>1129</v>
      </c>
      <c r="B217" t="str">
        <f t="shared" si="26"/>
        <v>....</v>
      </c>
      <c r="C217" t="str">
        <f t="shared" si="25"/>
        <v>Bertambah</v>
      </c>
      <c r="D217" t="str">
        <f t="shared" si="27"/>
        <v>1.3.3.01.01.28.013</v>
      </c>
      <c r="E217" s="12" t="s">
        <v>823</v>
      </c>
      <c r="F217" s="17">
        <v>1</v>
      </c>
      <c r="G217" s="17">
        <v>3</v>
      </c>
      <c r="H217" s="17">
        <v>3</v>
      </c>
      <c r="I217" s="18" t="s">
        <v>10</v>
      </c>
      <c r="J217" s="18" t="s">
        <v>10</v>
      </c>
      <c r="K217" s="17">
        <v>28</v>
      </c>
      <c r="L217" s="18" t="s">
        <v>45</v>
      </c>
      <c r="M217" s="19" t="s">
        <v>201</v>
      </c>
      <c r="N217" s="19" t="str">
        <f t="shared" si="22"/>
        <v>Bangunan Industri Genteng</v>
      </c>
      <c r="O217" t="b">
        <f t="shared" si="28"/>
        <v>0</v>
      </c>
      <c r="Q217" s="12" t="s">
        <v>823</v>
      </c>
      <c r="R217" s="29"/>
      <c r="S217" s="29"/>
      <c r="T217" s="29"/>
      <c r="U217" s="29"/>
      <c r="V217" s="29"/>
      <c r="W217" s="10"/>
      <c r="X217" t="str">
        <f t="shared" si="24"/>
        <v/>
      </c>
      <c r="Y217" s="10"/>
      <c r="Z217" s="10"/>
    </row>
    <row r="218" spans="1:26" ht="26.25" customHeight="1" x14ac:dyDescent="0.25">
      <c r="A218" t="s">
        <v>1129</v>
      </c>
      <c r="B218" t="str">
        <f t="shared" si="26"/>
        <v>....</v>
      </c>
      <c r="C218" t="str">
        <f t="shared" si="25"/>
        <v>Bertambah</v>
      </c>
      <c r="D218" t="str">
        <f t="shared" si="27"/>
        <v>1.3.3.01.01.28.014</v>
      </c>
      <c r="E218" s="12" t="s">
        <v>824</v>
      </c>
      <c r="F218" s="17">
        <v>1</v>
      </c>
      <c r="G218" s="17">
        <v>3</v>
      </c>
      <c r="H218" s="17">
        <v>3</v>
      </c>
      <c r="I218" s="18" t="s">
        <v>10</v>
      </c>
      <c r="J218" s="18" t="s">
        <v>10</v>
      </c>
      <c r="K218" s="17">
        <v>28</v>
      </c>
      <c r="L218" s="18" t="s">
        <v>47</v>
      </c>
      <c r="M218" s="19" t="s">
        <v>202</v>
      </c>
      <c r="N218" s="19" t="str">
        <f t="shared" si="22"/>
        <v>Bangunan Industri Percetakan</v>
      </c>
      <c r="O218" t="b">
        <f t="shared" si="28"/>
        <v>0</v>
      </c>
      <c r="Q218" s="12" t="s">
        <v>824</v>
      </c>
      <c r="R218" s="29"/>
      <c r="S218" s="29"/>
      <c r="T218" s="29"/>
      <c r="U218" s="29"/>
      <c r="V218" s="29"/>
      <c r="W218" s="10"/>
      <c r="X218" t="str">
        <f t="shared" si="24"/>
        <v/>
      </c>
      <c r="Y218" s="10"/>
      <c r="Z218" s="10"/>
    </row>
    <row r="219" spans="1:26" ht="26.25" customHeight="1" x14ac:dyDescent="0.25">
      <c r="A219" t="s">
        <v>1129</v>
      </c>
      <c r="B219" t="str">
        <f t="shared" si="26"/>
        <v>....</v>
      </c>
      <c r="C219" t="str">
        <f t="shared" si="25"/>
        <v>Bertambah</v>
      </c>
      <c r="D219" t="str">
        <f t="shared" si="27"/>
        <v>1.3.3.01.01.28.015</v>
      </c>
      <c r="E219" s="12" t="s">
        <v>825</v>
      </c>
      <c r="F219" s="17">
        <v>1</v>
      </c>
      <c r="G219" s="17">
        <v>3</v>
      </c>
      <c r="H219" s="17">
        <v>3</v>
      </c>
      <c r="I219" s="18" t="s">
        <v>10</v>
      </c>
      <c r="J219" s="18" t="s">
        <v>10</v>
      </c>
      <c r="K219" s="17">
        <v>28</v>
      </c>
      <c r="L219" s="18" t="s">
        <v>82</v>
      </c>
      <c r="M219" s="19" t="s">
        <v>203</v>
      </c>
      <c r="N219" s="19" t="str">
        <f t="shared" si="22"/>
        <v>Bangunan Industri Tekstil</v>
      </c>
      <c r="O219" t="b">
        <f t="shared" si="28"/>
        <v>0</v>
      </c>
      <c r="Q219" s="12" t="s">
        <v>825</v>
      </c>
      <c r="R219" s="29"/>
      <c r="S219" s="29"/>
      <c r="T219" s="29"/>
      <c r="U219" s="29"/>
      <c r="V219" s="29"/>
      <c r="W219" s="10"/>
      <c r="X219" t="str">
        <f t="shared" si="24"/>
        <v/>
      </c>
      <c r="Y219" s="10"/>
      <c r="Z219" s="10"/>
    </row>
    <row r="220" spans="1:26" ht="26.25" customHeight="1" x14ac:dyDescent="0.25">
      <c r="A220" t="s">
        <v>1129</v>
      </c>
      <c r="B220" t="str">
        <f t="shared" si="26"/>
        <v>....</v>
      </c>
      <c r="C220" t="str">
        <f t="shared" si="25"/>
        <v>Bertambah</v>
      </c>
      <c r="D220" t="str">
        <f t="shared" si="27"/>
        <v>1.3.3.01.01.28.016</v>
      </c>
      <c r="E220" s="12" t="s">
        <v>826</v>
      </c>
      <c r="F220" s="17">
        <v>1</v>
      </c>
      <c r="G220" s="17">
        <v>3</v>
      </c>
      <c r="H220" s="17">
        <v>3</v>
      </c>
      <c r="I220" s="18" t="s">
        <v>10</v>
      </c>
      <c r="J220" s="18" t="s">
        <v>10</v>
      </c>
      <c r="K220" s="17">
        <v>28</v>
      </c>
      <c r="L220" s="18" t="s">
        <v>84</v>
      </c>
      <c r="M220" s="19" t="s">
        <v>204</v>
      </c>
      <c r="N220" s="19" t="str">
        <f t="shared" si="22"/>
        <v>Bangunan Industri Alat Olah Raga</v>
      </c>
      <c r="O220" t="b">
        <f t="shared" si="28"/>
        <v>0</v>
      </c>
      <c r="Q220" s="12" t="s">
        <v>826</v>
      </c>
      <c r="R220" s="29"/>
      <c r="S220" s="29"/>
      <c r="T220" s="29"/>
      <c r="U220" s="29"/>
      <c r="V220" s="29"/>
      <c r="W220" s="10"/>
      <c r="X220" t="str">
        <f t="shared" si="24"/>
        <v/>
      </c>
      <c r="Y220" s="10"/>
      <c r="Z220" s="10"/>
    </row>
    <row r="221" spans="1:26" ht="26.25" customHeight="1" x14ac:dyDescent="0.25">
      <c r="A221" t="s">
        <v>1129</v>
      </c>
      <c r="B221" t="str">
        <f t="shared" si="26"/>
        <v>....</v>
      </c>
      <c r="C221" t="str">
        <f t="shared" si="25"/>
        <v>Bertambah</v>
      </c>
      <c r="D221" t="str">
        <f t="shared" si="27"/>
        <v>1.3.3.01.01.28.017</v>
      </c>
      <c r="E221" s="12" t="s">
        <v>827</v>
      </c>
      <c r="F221" s="17">
        <v>1</v>
      </c>
      <c r="G221" s="17">
        <v>3</v>
      </c>
      <c r="H221" s="17">
        <v>3</v>
      </c>
      <c r="I221" s="18" t="s">
        <v>10</v>
      </c>
      <c r="J221" s="18" t="s">
        <v>10</v>
      </c>
      <c r="K221" s="17">
        <v>28</v>
      </c>
      <c r="L221" s="18" t="s">
        <v>86</v>
      </c>
      <c r="M221" s="19" t="s">
        <v>205</v>
      </c>
      <c r="N221" s="19" t="str">
        <f t="shared" si="22"/>
        <v>Bangunan Industri Kendaraan/Otomotif</v>
      </c>
      <c r="O221" t="b">
        <f t="shared" si="28"/>
        <v>0</v>
      </c>
      <c r="Q221" s="12" t="s">
        <v>827</v>
      </c>
      <c r="R221" s="29"/>
      <c r="S221" s="29"/>
      <c r="T221" s="29"/>
      <c r="U221" s="29"/>
      <c r="V221" s="29"/>
      <c r="W221" s="10"/>
      <c r="X221" t="str">
        <f t="shared" si="24"/>
        <v/>
      </c>
      <c r="Y221" s="10"/>
      <c r="Z221" s="10"/>
    </row>
    <row r="222" spans="1:26" ht="26.25" customHeight="1" x14ac:dyDescent="0.25">
      <c r="A222" t="s">
        <v>1129</v>
      </c>
      <c r="B222" t="str">
        <f t="shared" si="26"/>
        <v>....</v>
      </c>
      <c r="C222" t="str">
        <f t="shared" si="25"/>
        <v>Bertambah</v>
      </c>
      <c r="D222" t="str">
        <f t="shared" si="27"/>
        <v>1.3.3.01.01.28.018</v>
      </c>
      <c r="E222" s="12" t="s">
        <v>828</v>
      </c>
      <c r="F222" s="17">
        <v>1</v>
      </c>
      <c r="G222" s="17">
        <v>3</v>
      </c>
      <c r="H222" s="17">
        <v>3</v>
      </c>
      <c r="I222" s="18" t="s">
        <v>10</v>
      </c>
      <c r="J222" s="18" t="s">
        <v>10</v>
      </c>
      <c r="K222" s="17">
        <v>28</v>
      </c>
      <c r="L222" s="18" t="s">
        <v>88</v>
      </c>
      <c r="M222" s="19" t="s">
        <v>206</v>
      </c>
      <c r="N222" s="19" t="str">
        <f t="shared" si="22"/>
        <v>Bangunan Industri Persenjataan</v>
      </c>
      <c r="O222" t="b">
        <f t="shared" si="28"/>
        <v>0</v>
      </c>
      <c r="Q222" s="12" t="s">
        <v>828</v>
      </c>
      <c r="R222" s="29"/>
      <c r="S222" s="29"/>
      <c r="T222" s="29"/>
      <c r="U222" s="29"/>
      <c r="V222" s="29"/>
      <c r="W222" s="10"/>
      <c r="X222" t="str">
        <f t="shared" si="24"/>
        <v/>
      </c>
      <c r="Y222" s="10"/>
      <c r="Z222" s="10"/>
    </row>
    <row r="223" spans="1:26" ht="26.25" customHeight="1" x14ac:dyDescent="0.25">
      <c r="A223" t="s">
        <v>1129</v>
      </c>
      <c r="B223" t="str">
        <f t="shared" si="26"/>
        <v>....</v>
      </c>
      <c r="C223" t="str">
        <f t="shared" si="25"/>
        <v>Bertambah</v>
      </c>
      <c r="D223" t="str">
        <f t="shared" si="27"/>
        <v>1.3.3.01.01.28.019</v>
      </c>
      <c r="E223" s="12" t="s">
        <v>829</v>
      </c>
      <c r="F223" s="17">
        <v>1</v>
      </c>
      <c r="G223" s="17">
        <v>3</v>
      </c>
      <c r="H223" s="17">
        <v>3</v>
      </c>
      <c r="I223" s="18" t="s">
        <v>10</v>
      </c>
      <c r="J223" s="18" t="s">
        <v>10</v>
      </c>
      <c r="K223" s="17">
        <v>28</v>
      </c>
      <c r="L223" s="18" t="s">
        <v>90</v>
      </c>
      <c r="M223" s="19" t="s">
        <v>207</v>
      </c>
      <c r="N223" s="19" t="str">
        <f t="shared" si="22"/>
        <v>Bangunan Industri Kapal Udara</v>
      </c>
      <c r="O223" t="b">
        <f t="shared" si="28"/>
        <v>0</v>
      </c>
      <c r="Q223" s="12" t="s">
        <v>829</v>
      </c>
      <c r="R223" s="29"/>
      <c r="S223" s="29"/>
      <c r="T223" s="29"/>
      <c r="U223" s="29"/>
      <c r="V223" s="29"/>
      <c r="W223" s="10"/>
      <c r="X223" t="str">
        <f t="shared" si="24"/>
        <v/>
      </c>
      <c r="Y223" s="10"/>
      <c r="Z223" s="10"/>
    </row>
    <row r="224" spans="1:26" ht="26.25" customHeight="1" x14ac:dyDescent="0.25">
      <c r="A224" t="s">
        <v>1129</v>
      </c>
      <c r="B224" t="str">
        <f t="shared" si="26"/>
        <v>....</v>
      </c>
      <c r="C224" t="str">
        <f t="shared" si="25"/>
        <v>Bertambah</v>
      </c>
      <c r="D224" t="str">
        <f t="shared" si="27"/>
        <v>1.3.3.01.01.28.020</v>
      </c>
      <c r="E224" s="12" t="s">
        <v>830</v>
      </c>
      <c r="F224" s="17">
        <v>1</v>
      </c>
      <c r="G224" s="17">
        <v>3</v>
      </c>
      <c r="H224" s="17">
        <v>3</v>
      </c>
      <c r="I224" s="18" t="s">
        <v>10</v>
      </c>
      <c r="J224" s="18" t="s">
        <v>10</v>
      </c>
      <c r="K224" s="17">
        <v>28</v>
      </c>
      <c r="L224" s="18" t="s">
        <v>208</v>
      </c>
      <c r="M224" s="19" t="s">
        <v>209</v>
      </c>
      <c r="N224" s="19" t="str">
        <f t="shared" si="22"/>
        <v>Bangunan Industri Kapal Laut</v>
      </c>
      <c r="O224" t="b">
        <f t="shared" si="28"/>
        <v>0</v>
      </c>
      <c r="Q224" s="12" t="s">
        <v>830</v>
      </c>
      <c r="R224" s="29"/>
      <c r="S224" s="29"/>
      <c r="T224" s="29"/>
      <c r="U224" s="29"/>
      <c r="V224" s="29"/>
      <c r="W224" s="10"/>
      <c r="X224" t="str">
        <f t="shared" si="24"/>
        <v/>
      </c>
      <c r="Y224" s="10"/>
      <c r="Z224" s="10"/>
    </row>
    <row r="225" spans="1:26" ht="26.25" customHeight="1" x14ac:dyDescent="0.25">
      <c r="A225" t="s">
        <v>1129</v>
      </c>
      <c r="B225" t="str">
        <f t="shared" si="26"/>
        <v>....</v>
      </c>
      <c r="C225" t="str">
        <f t="shared" si="25"/>
        <v>Bertambah</v>
      </c>
      <c r="D225" t="str">
        <f t="shared" si="27"/>
        <v>1.3.3.01.01.28.021</v>
      </c>
      <c r="E225" s="12" t="s">
        <v>831</v>
      </c>
      <c r="F225" s="17">
        <v>1</v>
      </c>
      <c r="G225" s="17">
        <v>3</v>
      </c>
      <c r="H225" s="17">
        <v>3</v>
      </c>
      <c r="I225" s="18" t="s">
        <v>10</v>
      </c>
      <c r="J225" s="18" t="s">
        <v>10</v>
      </c>
      <c r="K225" s="17">
        <v>28</v>
      </c>
      <c r="L225" s="18" t="s">
        <v>210</v>
      </c>
      <c r="M225" s="19" t="s">
        <v>211</v>
      </c>
      <c r="N225" s="19" t="str">
        <f t="shared" si="22"/>
        <v>Bangunan Industri Kereta Api</v>
      </c>
      <c r="O225" t="b">
        <f t="shared" si="28"/>
        <v>0</v>
      </c>
      <c r="Q225" s="12" t="s">
        <v>831</v>
      </c>
      <c r="R225" s="29"/>
      <c r="S225" s="29"/>
      <c r="T225" s="29"/>
      <c r="U225" s="29"/>
      <c r="V225" s="29"/>
      <c r="W225" s="10"/>
      <c r="X225" t="str">
        <f t="shared" si="24"/>
        <v/>
      </c>
      <c r="Y225" s="10"/>
      <c r="Z225" s="10"/>
    </row>
    <row r="226" spans="1:26" ht="26.25" customHeight="1" x14ac:dyDescent="0.25">
      <c r="A226" t="s">
        <v>1129</v>
      </c>
      <c r="B226" t="str">
        <f t="shared" si="26"/>
        <v>....</v>
      </c>
      <c r="C226" t="str">
        <f t="shared" si="25"/>
        <v>Bertambah</v>
      </c>
      <c r="D226" t="str">
        <f t="shared" si="27"/>
        <v>1.3.3.01.01.28.022</v>
      </c>
      <c r="E226" s="12" t="s">
        <v>832</v>
      </c>
      <c r="F226" s="17">
        <v>1</v>
      </c>
      <c r="G226" s="17">
        <v>3</v>
      </c>
      <c r="H226" s="17">
        <v>3</v>
      </c>
      <c r="I226" s="18" t="s">
        <v>10</v>
      </c>
      <c r="J226" s="18" t="s">
        <v>10</v>
      </c>
      <c r="K226" s="17">
        <v>28</v>
      </c>
      <c r="L226" s="18" t="s">
        <v>212</v>
      </c>
      <c r="M226" s="19" t="s">
        <v>213</v>
      </c>
      <c r="N226" s="19" t="str">
        <f t="shared" si="22"/>
        <v>Bangunan Industri Keramik/Marmer</v>
      </c>
      <c r="O226" t="b">
        <f t="shared" si="28"/>
        <v>0</v>
      </c>
      <c r="Q226" s="12" t="s">
        <v>832</v>
      </c>
      <c r="R226" s="29"/>
      <c r="S226" s="29"/>
      <c r="T226" s="29"/>
      <c r="U226" s="29"/>
      <c r="V226" s="29"/>
      <c r="W226" s="10"/>
      <c r="X226" t="str">
        <f t="shared" si="24"/>
        <v/>
      </c>
      <c r="Y226" s="10"/>
      <c r="Z226" s="10"/>
    </row>
    <row r="227" spans="1:26" ht="26.25" customHeight="1" x14ac:dyDescent="0.25">
      <c r="A227" t="s">
        <v>1129</v>
      </c>
      <c r="B227" t="str">
        <f t="shared" si="26"/>
        <v>....</v>
      </c>
      <c r="C227" t="str">
        <f t="shared" si="25"/>
        <v>Bertambah</v>
      </c>
      <c r="D227" t="str">
        <f t="shared" si="27"/>
        <v>1.3.3.01.01.28.023</v>
      </c>
      <c r="E227" s="12" t="s">
        <v>833</v>
      </c>
      <c r="F227" s="17">
        <v>1</v>
      </c>
      <c r="G227" s="17">
        <v>3</v>
      </c>
      <c r="H227" s="17">
        <v>3</v>
      </c>
      <c r="I227" s="18" t="s">
        <v>10</v>
      </c>
      <c r="J227" s="18" t="s">
        <v>10</v>
      </c>
      <c r="K227" s="17">
        <v>28</v>
      </c>
      <c r="L227" s="18" t="s">
        <v>214</v>
      </c>
      <c r="M227" s="19" t="s">
        <v>215</v>
      </c>
      <c r="N227" s="19" t="str">
        <f t="shared" si="22"/>
        <v>Bangunan Pabrik Es</v>
      </c>
      <c r="O227" t="b">
        <f t="shared" si="28"/>
        <v>0</v>
      </c>
      <c r="Q227" s="12" t="s">
        <v>833</v>
      </c>
      <c r="R227" s="29"/>
      <c r="S227" s="29"/>
      <c r="T227" s="29"/>
      <c r="U227" s="29"/>
      <c r="V227" s="29"/>
      <c r="W227" s="10"/>
      <c r="X227" t="str">
        <f t="shared" si="24"/>
        <v/>
      </c>
      <c r="Y227" s="10"/>
      <c r="Z227" s="10"/>
    </row>
    <row r="228" spans="1:26" ht="26.25" customHeight="1" x14ac:dyDescent="0.25">
      <c r="A228" t="s">
        <v>1129</v>
      </c>
      <c r="B228" t="str">
        <f t="shared" si="26"/>
        <v>....</v>
      </c>
      <c r="C228" t="str">
        <f t="shared" si="25"/>
        <v>Bertambah</v>
      </c>
      <c r="D228" t="str">
        <f t="shared" si="27"/>
        <v>1.3.3.01.01.28.024</v>
      </c>
      <c r="E228" s="12" t="s">
        <v>834</v>
      </c>
      <c r="F228" s="17">
        <v>1</v>
      </c>
      <c r="G228" s="17">
        <v>3</v>
      </c>
      <c r="H228" s="17">
        <v>3</v>
      </c>
      <c r="I228" s="18" t="s">
        <v>10</v>
      </c>
      <c r="J228" s="18" t="s">
        <v>10</v>
      </c>
      <c r="K228" s="17">
        <v>28</v>
      </c>
      <c r="L228" s="18" t="s">
        <v>216</v>
      </c>
      <c r="M228" s="19" t="s">
        <v>217</v>
      </c>
      <c r="N228" s="19" t="str">
        <f t="shared" si="22"/>
        <v>Bangunan Pasar Ikan Higienis/ PIH</v>
      </c>
      <c r="O228" t="b">
        <f t="shared" si="28"/>
        <v>0</v>
      </c>
      <c r="Q228" s="12" t="s">
        <v>834</v>
      </c>
      <c r="R228" s="29"/>
      <c r="S228" s="29"/>
      <c r="T228" s="29"/>
      <c r="U228" s="29"/>
      <c r="V228" s="29"/>
      <c r="W228" s="10"/>
      <c r="X228" t="str">
        <f t="shared" si="24"/>
        <v/>
      </c>
      <c r="Y228" s="10"/>
      <c r="Z228" s="10"/>
    </row>
    <row r="229" spans="1:26" ht="26.25" customHeight="1" x14ac:dyDescent="0.25">
      <c r="A229" t="s">
        <v>1129</v>
      </c>
      <c r="B229" t="str">
        <f t="shared" si="26"/>
        <v>....</v>
      </c>
      <c r="C229" t="str">
        <f t="shared" si="25"/>
        <v>Bertambah</v>
      </c>
      <c r="D229" t="str">
        <f t="shared" si="27"/>
        <v>1.3.3.01.01.28.025</v>
      </c>
      <c r="E229" s="12" t="s">
        <v>835</v>
      </c>
      <c r="F229" s="17">
        <v>1</v>
      </c>
      <c r="G229" s="17">
        <v>3</v>
      </c>
      <c r="H229" s="17">
        <v>3</v>
      </c>
      <c r="I229" s="18" t="s">
        <v>10</v>
      </c>
      <c r="J229" s="18" t="s">
        <v>10</v>
      </c>
      <c r="K229" s="17">
        <v>28</v>
      </c>
      <c r="L229" s="18" t="s">
        <v>218</v>
      </c>
      <c r="M229" s="19" t="s">
        <v>219</v>
      </c>
      <c r="N229" s="19" t="str">
        <f t="shared" si="22"/>
        <v>Bangunan Depo Pasar Ikan</v>
      </c>
      <c r="O229" t="b">
        <f t="shared" si="28"/>
        <v>0</v>
      </c>
      <c r="Q229" s="12" t="s">
        <v>835</v>
      </c>
      <c r="R229" s="29"/>
      <c r="S229" s="29"/>
      <c r="T229" s="29"/>
      <c r="U229" s="29"/>
      <c r="V229" s="29"/>
      <c r="W229" s="10"/>
      <c r="X229" t="str">
        <f t="shared" si="24"/>
        <v/>
      </c>
      <c r="Y229" s="10"/>
      <c r="Z229" s="10"/>
    </row>
    <row r="230" spans="1:26" ht="26.25" customHeight="1" x14ac:dyDescent="0.25">
      <c r="A230" t="s">
        <v>1129</v>
      </c>
      <c r="B230" t="str">
        <f t="shared" si="26"/>
        <v>....</v>
      </c>
      <c r="C230" t="str">
        <f t="shared" si="25"/>
        <v>Bertambah</v>
      </c>
      <c r="D230" t="str">
        <f t="shared" si="27"/>
        <v>1.3.3.01.01.28.026</v>
      </c>
      <c r="E230" s="12" t="s">
        <v>836</v>
      </c>
      <c r="F230" s="17">
        <v>1</v>
      </c>
      <c r="G230" s="17">
        <v>3</v>
      </c>
      <c r="H230" s="17">
        <v>3</v>
      </c>
      <c r="I230" s="18" t="s">
        <v>10</v>
      </c>
      <c r="J230" s="18" t="s">
        <v>10</v>
      </c>
      <c r="K230" s="17">
        <v>28</v>
      </c>
      <c r="L230" s="18" t="s">
        <v>220</v>
      </c>
      <c r="M230" s="19" t="s">
        <v>221</v>
      </c>
      <c r="N230" s="19" t="str">
        <f t="shared" si="22"/>
        <v>Bangunan Pasar/ Raiser Ikan Hias</v>
      </c>
      <c r="O230" t="b">
        <f t="shared" si="28"/>
        <v>0</v>
      </c>
      <c r="Q230" s="12" t="s">
        <v>836</v>
      </c>
      <c r="R230" s="29"/>
      <c r="S230" s="29"/>
      <c r="T230" s="29"/>
      <c r="U230" s="29"/>
      <c r="V230" s="29"/>
      <c r="W230" s="10"/>
      <c r="X230" t="str">
        <f t="shared" si="24"/>
        <v/>
      </c>
      <c r="Y230" s="10"/>
      <c r="Z230" s="10"/>
    </row>
    <row r="231" spans="1:26" ht="26.25" customHeight="1" x14ac:dyDescent="0.25">
      <c r="A231" t="s">
        <v>1129</v>
      </c>
      <c r="B231" t="str">
        <f t="shared" si="26"/>
        <v>....</v>
      </c>
      <c r="C231" t="str">
        <f t="shared" si="25"/>
        <v>Bertambah</v>
      </c>
      <c r="D231" t="str">
        <f t="shared" si="27"/>
        <v>1.3.3.01.01.28.027</v>
      </c>
      <c r="E231" s="12" t="s">
        <v>837</v>
      </c>
      <c r="F231" s="17">
        <v>1</v>
      </c>
      <c r="G231" s="17">
        <v>3</v>
      </c>
      <c r="H231" s="17">
        <v>3</v>
      </c>
      <c r="I231" s="18" t="s">
        <v>10</v>
      </c>
      <c r="J231" s="18" t="s">
        <v>10</v>
      </c>
      <c r="K231" s="17">
        <v>28</v>
      </c>
      <c r="L231" s="18" t="s">
        <v>222</v>
      </c>
      <c r="M231" s="19" t="s">
        <v>23</v>
      </c>
      <c r="N231" s="19" t="str">
        <f t="shared" si="22"/>
        <v>Dst….</v>
      </c>
      <c r="O231" t="b">
        <f t="shared" si="28"/>
        <v>0</v>
      </c>
      <c r="Q231" s="12" t="s">
        <v>837</v>
      </c>
      <c r="R231" s="29"/>
      <c r="S231" s="29"/>
      <c r="T231" s="29"/>
      <c r="U231" s="29"/>
      <c r="V231" s="29"/>
      <c r="W231" s="10"/>
      <c r="X231" t="str">
        <f t="shared" si="24"/>
        <v/>
      </c>
      <c r="Y231" s="10"/>
      <c r="Z231" s="10"/>
    </row>
    <row r="232" spans="1:26" ht="26.25" customHeight="1" x14ac:dyDescent="0.25">
      <c r="A232" t="s">
        <v>1260</v>
      </c>
      <c r="B232" t="str">
        <f t="shared" si="26"/>
        <v>3.11.1.18. *</v>
      </c>
      <c r="C232" t="str">
        <f t="shared" si="25"/>
        <v>Berubah</v>
      </c>
      <c r="D232" t="str">
        <f t="shared" si="27"/>
        <v>1.3.3.01.01.29.</v>
      </c>
      <c r="E232" s="12" t="s">
        <v>838</v>
      </c>
      <c r="F232" s="17">
        <v>1</v>
      </c>
      <c r="G232" s="17">
        <v>3</v>
      </c>
      <c r="H232" s="17">
        <v>3</v>
      </c>
      <c r="I232" s="18" t="s">
        <v>10</v>
      </c>
      <c r="J232" s="18" t="s">
        <v>10</v>
      </c>
      <c r="K232" s="17">
        <v>29</v>
      </c>
      <c r="L232" s="18"/>
      <c r="M232" s="19" t="s">
        <v>223</v>
      </c>
      <c r="N232" s="19" t="str">
        <f t="shared" si="22"/>
        <v>BANGUNAN PETERNAKAN/PERIKANAN</v>
      </c>
      <c r="O232" t="b">
        <f t="shared" si="28"/>
        <v>0</v>
      </c>
      <c r="Q232" s="12" t="s">
        <v>838</v>
      </c>
      <c r="R232" s="27">
        <v>3</v>
      </c>
      <c r="S232" s="28">
        <v>11</v>
      </c>
      <c r="T232" s="28">
        <v>1</v>
      </c>
      <c r="U232" s="28">
        <v>18</v>
      </c>
      <c r="V232" s="28" t="s">
        <v>470</v>
      </c>
      <c r="W232" s="11" t="s">
        <v>480</v>
      </c>
      <c r="X232" t="str">
        <f t="shared" si="24"/>
        <v>Bangunan Kandang Hewan/Ternak</v>
      </c>
      <c r="Y232" s="13" t="s">
        <v>413</v>
      </c>
      <c r="Z232" s="13">
        <v>107</v>
      </c>
    </row>
    <row r="233" spans="1:26" ht="26.25" customHeight="1" x14ac:dyDescent="0.25">
      <c r="A233" t="s">
        <v>1261</v>
      </c>
      <c r="B233" t="str">
        <f t="shared" si="26"/>
        <v>3.11.1.18.1</v>
      </c>
      <c r="C233" t="str">
        <f t="shared" si="25"/>
        <v>Berubah</v>
      </c>
      <c r="D233" t="str">
        <f t="shared" si="27"/>
        <v>1.3.3.01.01.29.001</v>
      </c>
      <c r="E233" s="12" t="s">
        <v>839</v>
      </c>
      <c r="F233" s="17">
        <v>1</v>
      </c>
      <c r="G233" s="17">
        <v>3</v>
      </c>
      <c r="H233" s="17">
        <v>3</v>
      </c>
      <c r="I233" s="18" t="s">
        <v>10</v>
      </c>
      <c r="J233" s="18" t="s">
        <v>10</v>
      </c>
      <c r="K233" s="17">
        <v>29</v>
      </c>
      <c r="L233" s="18" t="s">
        <v>14</v>
      </c>
      <c r="M233" s="19" t="s">
        <v>224</v>
      </c>
      <c r="N233" s="19" t="str">
        <f t="shared" si="22"/>
        <v>Bangunan Untuk Kandang</v>
      </c>
      <c r="O233" t="b">
        <f t="shared" si="28"/>
        <v>0</v>
      </c>
      <c r="Q233" s="12" t="s">
        <v>839</v>
      </c>
      <c r="R233" s="27">
        <v>3</v>
      </c>
      <c r="S233" s="28">
        <v>11</v>
      </c>
      <c r="T233" s="28">
        <v>1</v>
      </c>
      <c r="U233" s="28">
        <v>18</v>
      </c>
      <c r="V233" s="28">
        <v>1</v>
      </c>
      <c r="W233" s="11" t="s">
        <v>481</v>
      </c>
      <c r="X233" t="str">
        <f t="shared" si="24"/>
        <v>Bangunan Kandang Hewan/Ternak Permanen</v>
      </c>
      <c r="Y233" s="13" t="s">
        <v>413</v>
      </c>
      <c r="Z233" s="13">
        <v>108</v>
      </c>
    </row>
    <row r="234" spans="1:26" ht="26.25" customHeight="1" x14ac:dyDescent="0.25">
      <c r="A234" t="s">
        <v>1262</v>
      </c>
      <c r="B234" t="str">
        <f t="shared" si="26"/>
        <v>3.11.1.18.2</v>
      </c>
      <c r="C234" t="str">
        <f t="shared" si="25"/>
        <v>Keluar</v>
      </c>
      <c r="D234" t="str">
        <f t="shared" si="27"/>
        <v>......</v>
      </c>
      <c r="E234" s="12" t="s">
        <v>840</v>
      </c>
      <c r="F234" s="20"/>
      <c r="G234" s="20"/>
      <c r="H234" s="20"/>
      <c r="I234" s="20"/>
      <c r="J234" s="20"/>
      <c r="K234" s="20"/>
      <c r="L234" s="20"/>
      <c r="M234" s="21"/>
      <c r="N234" s="19" t="str">
        <f t="shared" si="22"/>
        <v/>
      </c>
      <c r="O234" t="b">
        <f t="shared" si="28"/>
        <v>0</v>
      </c>
      <c r="Q234" s="12" t="s">
        <v>840</v>
      </c>
      <c r="R234" s="27">
        <v>3</v>
      </c>
      <c r="S234" s="28">
        <v>11</v>
      </c>
      <c r="T234" s="28">
        <v>1</v>
      </c>
      <c r="U234" s="28">
        <v>18</v>
      </c>
      <c r="V234" s="28">
        <v>2</v>
      </c>
      <c r="W234" s="11" t="s">
        <v>482</v>
      </c>
      <c r="X234" t="str">
        <f t="shared" si="24"/>
        <v>Bangunan Kandang Hewan/Ternak Semi Permanen</v>
      </c>
      <c r="Y234" s="13" t="s">
        <v>413</v>
      </c>
      <c r="Z234" s="13">
        <v>109</v>
      </c>
    </row>
    <row r="235" spans="1:26" ht="26.25" customHeight="1" x14ac:dyDescent="0.25">
      <c r="A235" t="s">
        <v>1263</v>
      </c>
      <c r="B235" t="str">
        <f t="shared" si="26"/>
        <v>3.11.1.18.3</v>
      </c>
      <c r="C235" t="str">
        <f t="shared" si="25"/>
        <v>Keluar</v>
      </c>
      <c r="D235" t="str">
        <f t="shared" si="27"/>
        <v>......</v>
      </c>
      <c r="E235" s="12" t="s">
        <v>841</v>
      </c>
      <c r="F235" s="9"/>
      <c r="G235" s="9"/>
      <c r="H235" s="20"/>
      <c r="I235" s="20"/>
      <c r="J235" s="20"/>
      <c r="K235" s="20"/>
      <c r="L235" s="20"/>
      <c r="M235" s="21"/>
      <c r="N235" s="6"/>
      <c r="O235" t="b">
        <f>M235=W236</f>
        <v>1</v>
      </c>
      <c r="Q235" s="12" t="s">
        <v>841</v>
      </c>
      <c r="R235" s="27">
        <v>3</v>
      </c>
      <c r="S235" s="28">
        <v>11</v>
      </c>
      <c r="T235" s="28">
        <v>1</v>
      </c>
      <c r="U235" s="28">
        <v>18</v>
      </c>
      <c r="V235" s="28">
        <v>3</v>
      </c>
      <c r="W235" s="11" t="s">
        <v>483</v>
      </c>
      <c r="X235" s="11"/>
      <c r="Y235" s="13" t="s">
        <v>413</v>
      </c>
      <c r="Z235" s="13">
        <v>110</v>
      </c>
    </row>
    <row r="236" spans="1:26" ht="26.25" customHeight="1" x14ac:dyDescent="0.25">
      <c r="A236" t="s">
        <v>1129</v>
      </c>
      <c r="B236" t="str">
        <f t="shared" si="26"/>
        <v>....</v>
      </c>
      <c r="C236" t="str">
        <f t="shared" si="25"/>
        <v>Bertambah</v>
      </c>
      <c r="D236" t="str">
        <f t="shared" si="27"/>
        <v>1.3.3.01.01.29.002</v>
      </c>
      <c r="E236" s="12" t="s">
        <v>842</v>
      </c>
      <c r="F236" s="17">
        <v>1</v>
      </c>
      <c r="G236" s="17">
        <v>3</v>
      </c>
      <c r="H236" s="17">
        <v>3</v>
      </c>
      <c r="I236" s="18" t="s">
        <v>10</v>
      </c>
      <c r="J236" s="18" t="s">
        <v>10</v>
      </c>
      <c r="K236" s="17">
        <v>29</v>
      </c>
      <c r="L236" s="18" t="s">
        <v>16</v>
      </c>
      <c r="M236" s="19" t="s">
        <v>225</v>
      </c>
      <c r="N236" s="19" t="str">
        <f t="shared" ref="N236:N240" si="29">TRIM(M236)</f>
        <v>Bangunan Kolam/Bak Ikan</v>
      </c>
      <c r="O236" t="b">
        <f>M236=W236</f>
        <v>0</v>
      </c>
      <c r="Q236" s="12" t="s">
        <v>842</v>
      </c>
      <c r="R236" s="29"/>
      <c r="S236" s="29"/>
      <c r="T236" s="29"/>
      <c r="U236" s="29"/>
      <c r="V236" s="29"/>
      <c r="W236" s="10"/>
      <c r="X236" t="str">
        <f t="shared" ref="X236:X240" si="30">TRIM(W236)</f>
        <v/>
      </c>
      <c r="Y236" s="10"/>
      <c r="Z236" s="10"/>
    </row>
    <row r="237" spans="1:26" ht="26.25" customHeight="1" x14ac:dyDescent="0.25">
      <c r="A237" t="s">
        <v>1129</v>
      </c>
      <c r="B237" t="str">
        <f t="shared" si="26"/>
        <v>....</v>
      </c>
      <c r="C237" t="str">
        <f t="shared" si="25"/>
        <v>Bertambah</v>
      </c>
      <c r="D237" t="str">
        <f t="shared" si="27"/>
        <v>1.3.3.01.01.29.003</v>
      </c>
      <c r="E237" s="12" t="s">
        <v>843</v>
      </c>
      <c r="F237" s="17">
        <v>1</v>
      </c>
      <c r="G237" s="17">
        <v>3</v>
      </c>
      <c r="H237" s="17">
        <v>3</v>
      </c>
      <c r="I237" s="18" t="s">
        <v>10</v>
      </c>
      <c r="J237" s="18" t="s">
        <v>10</v>
      </c>
      <c r="K237" s="17">
        <v>29</v>
      </c>
      <c r="L237" s="18" t="s">
        <v>18</v>
      </c>
      <c r="M237" s="19" t="s">
        <v>226</v>
      </c>
      <c r="N237" s="19" t="str">
        <f t="shared" si="29"/>
        <v>Bangunan Pembesar Ikan</v>
      </c>
      <c r="O237" t="b">
        <f>M237=W237</f>
        <v>0</v>
      </c>
      <c r="Q237" s="12" t="s">
        <v>843</v>
      </c>
      <c r="R237" s="29"/>
      <c r="S237" s="29"/>
      <c r="T237" s="29"/>
      <c r="U237" s="29"/>
      <c r="V237" s="29"/>
      <c r="W237" s="10"/>
      <c r="X237" t="str">
        <f t="shared" si="30"/>
        <v/>
      </c>
      <c r="Y237" s="10"/>
      <c r="Z237" s="10"/>
    </row>
    <row r="238" spans="1:26" ht="26.25" customHeight="1" x14ac:dyDescent="0.25">
      <c r="A238" t="s">
        <v>1264</v>
      </c>
      <c r="B238" t="str">
        <f t="shared" si="26"/>
        <v>3.11.1.18.7</v>
      </c>
      <c r="C238" t="str">
        <f t="shared" si="25"/>
        <v>Berubah</v>
      </c>
      <c r="D238" t="str">
        <f t="shared" si="27"/>
        <v>1.3.3.01.01.29.004</v>
      </c>
      <c r="E238" s="12" t="s">
        <v>844</v>
      </c>
      <c r="F238" s="17">
        <v>1</v>
      </c>
      <c r="G238" s="17">
        <v>3</v>
      </c>
      <c r="H238" s="17">
        <v>3</v>
      </c>
      <c r="I238" s="18" t="s">
        <v>10</v>
      </c>
      <c r="J238" s="18" t="s">
        <v>10</v>
      </c>
      <c r="K238" s="17">
        <v>29</v>
      </c>
      <c r="L238" s="18" t="s">
        <v>20</v>
      </c>
      <c r="M238" s="19" t="s">
        <v>23</v>
      </c>
      <c r="N238" s="19" t="str">
        <f t="shared" si="29"/>
        <v>Dst….</v>
      </c>
      <c r="O238" t="b">
        <f>M238=W238</f>
        <v>0</v>
      </c>
      <c r="Q238" s="12" t="s">
        <v>844</v>
      </c>
      <c r="R238" s="27">
        <v>3</v>
      </c>
      <c r="S238" s="28">
        <v>11</v>
      </c>
      <c r="T238" s="28">
        <v>1</v>
      </c>
      <c r="U238" s="28">
        <v>18</v>
      </c>
      <c r="V238" s="28">
        <v>7</v>
      </c>
      <c r="W238" s="11" t="s">
        <v>415</v>
      </c>
      <c r="X238" t="str">
        <f t="shared" si="30"/>
        <v>Lain-lain</v>
      </c>
      <c r="Y238" s="13" t="s">
        <v>413</v>
      </c>
      <c r="Z238" s="13">
        <v>114</v>
      </c>
    </row>
    <row r="239" spans="1:26" ht="26.25" customHeight="1" x14ac:dyDescent="0.25">
      <c r="A239" t="s">
        <v>1265</v>
      </c>
      <c r="B239" t="str">
        <f t="shared" si="26"/>
        <v>3.11.1.18.4</v>
      </c>
      <c r="C239" t="str">
        <f t="shared" si="25"/>
        <v>Berubah</v>
      </c>
      <c r="D239" t="str">
        <f t="shared" si="27"/>
        <v>1.3.3.01.01.29.005</v>
      </c>
      <c r="E239" s="12" t="s">
        <v>845</v>
      </c>
      <c r="F239" s="17">
        <v>1</v>
      </c>
      <c r="G239" s="17">
        <v>3</v>
      </c>
      <c r="H239" s="17">
        <v>3</v>
      </c>
      <c r="I239" s="18" t="s">
        <v>10</v>
      </c>
      <c r="J239" s="18" t="s">
        <v>10</v>
      </c>
      <c r="K239" s="17">
        <v>29</v>
      </c>
      <c r="L239" s="18" t="s">
        <v>22</v>
      </c>
      <c r="M239" s="11" t="s">
        <v>484</v>
      </c>
      <c r="N239" s="19" t="str">
        <f t="shared" si="29"/>
        <v>Bangunan Kandang Observasi Permanen</v>
      </c>
      <c r="O239" t="b">
        <f>M239=W239</f>
        <v>1</v>
      </c>
      <c r="Q239" s="12" t="s">
        <v>845</v>
      </c>
      <c r="R239" s="27">
        <v>3</v>
      </c>
      <c r="S239" s="28">
        <v>11</v>
      </c>
      <c r="T239" s="28">
        <v>1</v>
      </c>
      <c r="U239" s="28">
        <v>18</v>
      </c>
      <c r="V239" s="28">
        <v>4</v>
      </c>
      <c r="W239" s="11" t="s">
        <v>484</v>
      </c>
      <c r="X239" t="str">
        <f t="shared" si="30"/>
        <v>Bangunan Kandang Observasi Permanen</v>
      </c>
      <c r="Y239" s="13" t="s">
        <v>413</v>
      </c>
      <c r="Z239" s="13">
        <v>111</v>
      </c>
    </row>
    <row r="240" spans="1:26" ht="26.25" customHeight="1" x14ac:dyDescent="0.25">
      <c r="A240" t="s">
        <v>1266</v>
      </c>
      <c r="B240" t="str">
        <f t="shared" si="26"/>
        <v>3.11.1.18.5</v>
      </c>
      <c r="C240" t="str">
        <f t="shared" si="25"/>
        <v>Berubah</v>
      </c>
      <c r="D240" t="str">
        <f t="shared" si="27"/>
        <v>1.3.3.01.01.29.006</v>
      </c>
      <c r="E240" s="12" t="s">
        <v>846</v>
      </c>
      <c r="F240" s="17">
        <v>1</v>
      </c>
      <c r="G240" s="17">
        <v>3</v>
      </c>
      <c r="H240" s="17">
        <v>3</v>
      </c>
      <c r="I240" s="18" t="s">
        <v>10</v>
      </c>
      <c r="J240" s="18" t="s">
        <v>10</v>
      </c>
      <c r="K240" s="17">
        <v>29</v>
      </c>
      <c r="L240" s="18" t="s">
        <v>31</v>
      </c>
      <c r="M240" s="11" t="s">
        <v>485</v>
      </c>
      <c r="N240" s="19" t="str">
        <f t="shared" si="29"/>
        <v>Bangunan Kandang Observasi Semi Permanen</v>
      </c>
      <c r="O240" t="b">
        <f>M240=W240</f>
        <v>1</v>
      </c>
      <c r="Q240" s="12" t="s">
        <v>846</v>
      </c>
      <c r="R240" s="27">
        <v>3</v>
      </c>
      <c r="S240" s="28">
        <v>11</v>
      </c>
      <c r="T240" s="28">
        <v>1</v>
      </c>
      <c r="U240" s="28">
        <v>18</v>
      </c>
      <c r="V240" s="28">
        <v>5</v>
      </c>
      <c r="W240" s="11" t="s">
        <v>485</v>
      </c>
      <c r="X240" t="str">
        <f t="shared" si="30"/>
        <v>Bangunan Kandang Observasi Semi Permanen</v>
      </c>
      <c r="Y240" s="13" t="s">
        <v>413</v>
      </c>
      <c r="Z240" s="13">
        <v>112</v>
      </c>
    </row>
    <row r="241" spans="1:26" ht="26.25" customHeight="1" x14ac:dyDescent="0.25">
      <c r="A241" t="s">
        <v>1267</v>
      </c>
      <c r="B241" t="str">
        <f t="shared" si="26"/>
        <v>3.11.1.18.6</v>
      </c>
      <c r="C241" t="str">
        <f t="shared" si="25"/>
        <v>Berubah</v>
      </c>
      <c r="D241" t="str">
        <f t="shared" si="27"/>
        <v>1.3.3.01.01.29.007</v>
      </c>
      <c r="E241" s="12" t="s">
        <v>847</v>
      </c>
      <c r="F241" s="17">
        <v>1</v>
      </c>
      <c r="G241" s="17">
        <v>3</v>
      </c>
      <c r="H241" s="17">
        <v>3</v>
      </c>
      <c r="I241" s="18" t="s">
        <v>10</v>
      </c>
      <c r="J241" s="18" t="s">
        <v>10</v>
      </c>
      <c r="K241" s="17">
        <v>29</v>
      </c>
      <c r="L241" s="18" t="s">
        <v>33</v>
      </c>
      <c r="M241" s="11" t="s">
        <v>486</v>
      </c>
      <c r="N241" s="6" t="s">
        <v>230</v>
      </c>
      <c r="O241" t="b">
        <f>M241=W242</f>
        <v>0</v>
      </c>
      <c r="Q241" s="12" t="s">
        <v>847</v>
      </c>
      <c r="R241" s="27">
        <v>3</v>
      </c>
      <c r="S241" s="28">
        <v>11</v>
      </c>
      <c r="T241" s="28">
        <v>1</v>
      </c>
      <c r="U241" s="28">
        <v>18</v>
      </c>
      <c r="V241" s="28">
        <v>6</v>
      </c>
      <c r="W241" s="11" t="s">
        <v>486</v>
      </c>
      <c r="X241" s="11"/>
      <c r="Y241" s="13" t="s">
        <v>413</v>
      </c>
      <c r="Z241" s="13">
        <v>113</v>
      </c>
    </row>
    <row r="242" spans="1:26" ht="26.25" customHeight="1" x14ac:dyDescent="0.25">
      <c r="A242" t="s">
        <v>1129</v>
      </c>
      <c r="B242" t="str">
        <f t="shared" si="26"/>
        <v>....</v>
      </c>
      <c r="C242" t="str">
        <f t="shared" si="25"/>
        <v>Bertambah</v>
      </c>
      <c r="D242" t="str">
        <f t="shared" si="27"/>
        <v>......</v>
      </c>
      <c r="E242" s="12" t="s">
        <v>848</v>
      </c>
      <c r="F242" s="4"/>
      <c r="G242" s="4"/>
      <c r="H242" s="4"/>
      <c r="I242" s="5"/>
      <c r="J242" s="5"/>
      <c r="K242" s="4"/>
      <c r="L242" s="5"/>
      <c r="M242" s="6"/>
      <c r="N242" s="6" t="str">
        <f t="shared" ref="N242:N305" si="31">TRIM(M242)</f>
        <v/>
      </c>
      <c r="O242" t="b">
        <f t="shared" ref="O242:O273" si="32">M242=W242</f>
        <v>1</v>
      </c>
      <c r="Q242" s="12" t="s">
        <v>848</v>
      </c>
      <c r="R242" s="29"/>
      <c r="S242" s="29"/>
      <c r="T242" s="29"/>
      <c r="U242" s="29"/>
      <c r="V242" s="29"/>
      <c r="W242" s="10"/>
      <c r="X242" t="str">
        <f t="shared" ref="X242:X305" si="33">TRIM(W242)</f>
        <v/>
      </c>
      <c r="Y242" s="10"/>
      <c r="Z242" s="10"/>
    </row>
    <row r="243" spans="1:26" ht="26.25" customHeight="1" x14ac:dyDescent="0.25">
      <c r="A243" t="s">
        <v>1268</v>
      </c>
      <c r="B243" t="str">
        <f t="shared" si="26"/>
        <v>3.11.1.27.*</v>
      </c>
      <c r="C243" t="str">
        <f t="shared" si="25"/>
        <v>Berubah</v>
      </c>
      <c r="D243" t="str">
        <f t="shared" si="27"/>
        <v>1.3.3.01.01.30.</v>
      </c>
      <c r="E243" s="12" t="s">
        <v>849</v>
      </c>
      <c r="F243" s="17">
        <v>1</v>
      </c>
      <c r="G243" s="17">
        <v>3</v>
      </c>
      <c r="H243" s="4">
        <v>3</v>
      </c>
      <c r="I243" s="5" t="s">
        <v>10</v>
      </c>
      <c r="J243" s="5" t="s">
        <v>10</v>
      </c>
      <c r="K243" s="4">
        <v>30</v>
      </c>
      <c r="L243" s="5"/>
      <c r="M243" s="6" t="s">
        <v>227</v>
      </c>
      <c r="N243" s="19" t="str">
        <f t="shared" si="31"/>
        <v>BANGUNAN GEDUNG TEMPAT KERJA LAINNYA</v>
      </c>
      <c r="O243" t="b">
        <f t="shared" si="32"/>
        <v>0</v>
      </c>
      <c r="Q243" s="12" t="s">
        <v>849</v>
      </c>
      <c r="R243" s="27">
        <v>3</v>
      </c>
      <c r="S243" s="28">
        <v>11</v>
      </c>
      <c r="T243" s="28">
        <v>1</v>
      </c>
      <c r="U243" s="28">
        <v>27</v>
      </c>
      <c r="V243" s="28" t="s">
        <v>411</v>
      </c>
      <c r="W243" s="11" t="s">
        <v>511</v>
      </c>
      <c r="X243" t="str">
        <f t="shared" si="33"/>
        <v>Bangunan Ged. Tempat Kerja Lainnya</v>
      </c>
      <c r="Y243" s="13" t="s">
        <v>413</v>
      </c>
      <c r="Z243" s="13">
        <v>154</v>
      </c>
    </row>
    <row r="244" spans="1:26" ht="26.25" customHeight="1" x14ac:dyDescent="0.25">
      <c r="A244" t="s">
        <v>1269</v>
      </c>
      <c r="B244" t="str">
        <f t="shared" si="26"/>
        <v>3.11.1.27.1</v>
      </c>
      <c r="C244" t="str">
        <f t="shared" si="25"/>
        <v>Berubah</v>
      </c>
      <c r="D244" t="str">
        <f t="shared" si="27"/>
        <v>1.3.3.01.01.30.001</v>
      </c>
      <c r="E244" s="12" t="s">
        <v>850</v>
      </c>
      <c r="F244" s="4">
        <v>1</v>
      </c>
      <c r="G244" s="4">
        <v>3</v>
      </c>
      <c r="H244" s="4">
        <v>3</v>
      </c>
      <c r="I244" s="5" t="s">
        <v>10</v>
      </c>
      <c r="J244" s="5" t="s">
        <v>10</v>
      </c>
      <c r="K244" s="4">
        <v>30</v>
      </c>
      <c r="L244" s="5" t="s">
        <v>14</v>
      </c>
      <c r="M244" s="6" t="s">
        <v>228</v>
      </c>
      <c r="N244" s="6" t="str">
        <f t="shared" si="31"/>
        <v>Bangunan Gedung Tempat Kerja Lainnya Permanen</v>
      </c>
      <c r="O244" t="b">
        <f t="shared" si="32"/>
        <v>1</v>
      </c>
      <c r="Q244" s="12" t="s">
        <v>850</v>
      </c>
      <c r="R244" s="27">
        <v>3</v>
      </c>
      <c r="S244" s="28">
        <v>11</v>
      </c>
      <c r="T244" s="28">
        <v>1</v>
      </c>
      <c r="U244" s="28">
        <v>27</v>
      </c>
      <c r="V244" s="28">
        <v>1</v>
      </c>
      <c r="W244" s="11" t="s">
        <v>228</v>
      </c>
      <c r="X244" t="str">
        <f t="shared" si="33"/>
        <v>Bangunan Gedung Tempat Kerja Lainnya Permanen</v>
      </c>
      <c r="Y244" s="13" t="s">
        <v>413</v>
      </c>
      <c r="Z244" s="13">
        <v>155</v>
      </c>
    </row>
    <row r="245" spans="1:26" ht="26.25" customHeight="1" x14ac:dyDescent="0.25">
      <c r="A245" t="s">
        <v>1270</v>
      </c>
      <c r="B245" t="str">
        <f t="shared" si="26"/>
        <v>3.11.1.27.2</v>
      </c>
      <c r="C245" t="str">
        <f t="shared" si="25"/>
        <v>Berubah</v>
      </c>
      <c r="D245" t="str">
        <f t="shared" si="27"/>
        <v>1.3.3.01.01.30.002</v>
      </c>
      <c r="E245" s="12" t="s">
        <v>851</v>
      </c>
      <c r="F245" s="4">
        <v>1</v>
      </c>
      <c r="G245" s="4">
        <v>3</v>
      </c>
      <c r="H245" s="4">
        <v>3</v>
      </c>
      <c r="I245" s="5" t="s">
        <v>10</v>
      </c>
      <c r="J245" s="5" t="s">
        <v>10</v>
      </c>
      <c r="K245" s="4">
        <v>30</v>
      </c>
      <c r="L245" s="5" t="s">
        <v>16</v>
      </c>
      <c r="M245" s="6" t="s">
        <v>229</v>
      </c>
      <c r="N245" s="6" t="str">
        <f t="shared" si="31"/>
        <v>Bangunan Gedung Tempat Kerja Lainnya Semi Permanen</v>
      </c>
      <c r="O245" t="b">
        <f t="shared" si="32"/>
        <v>1</v>
      </c>
      <c r="Q245" s="12" t="s">
        <v>851</v>
      </c>
      <c r="R245" s="27">
        <v>3</v>
      </c>
      <c r="S245" s="28">
        <v>11</v>
      </c>
      <c r="T245" s="28">
        <v>1</v>
      </c>
      <c r="U245" s="28">
        <v>27</v>
      </c>
      <c r="V245" s="28">
        <v>2</v>
      </c>
      <c r="W245" s="11" t="s">
        <v>229</v>
      </c>
      <c r="X245" t="str">
        <f t="shared" si="33"/>
        <v>Bangunan Gedung Tempat Kerja Lainnya Semi Permanen</v>
      </c>
      <c r="Y245" s="13" t="s">
        <v>413</v>
      </c>
      <c r="Z245" s="13">
        <v>156</v>
      </c>
    </row>
    <row r="246" spans="1:26" ht="26.25" customHeight="1" x14ac:dyDescent="0.25">
      <c r="A246" t="s">
        <v>1271</v>
      </c>
      <c r="B246" t="str">
        <f t="shared" si="26"/>
        <v>3.11.1.27.3</v>
      </c>
      <c r="C246" t="str">
        <f t="shared" si="25"/>
        <v>Berubah</v>
      </c>
      <c r="D246" t="str">
        <f t="shared" si="27"/>
        <v>1.3.3.01.01.30.003</v>
      </c>
      <c r="E246" s="12" t="s">
        <v>852</v>
      </c>
      <c r="F246" s="4">
        <v>1</v>
      </c>
      <c r="G246" s="4">
        <v>3</v>
      </c>
      <c r="H246" s="4">
        <v>3</v>
      </c>
      <c r="I246" s="5" t="s">
        <v>10</v>
      </c>
      <c r="J246" s="5" t="s">
        <v>10</v>
      </c>
      <c r="K246" s="4">
        <v>30</v>
      </c>
      <c r="L246" s="5" t="s">
        <v>18</v>
      </c>
      <c r="M246" s="6" t="s">
        <v>230</v>
      </c>
      <c r="N246" s="6" t="str">
        <f t="shared" si="31"/>
        <v>Bangunan Gedung Tempat Kerja Lainnya Darurat</v>
      </c>
      <c r="O246" t="b">
        <f t="shared" si="32"/>
        <v>1</v>
      </c>
      <c r="Q246" s="12" t="s">
        <v>852</v>
      </c>
      <c r="R246" s="27">
        <v>3</v>
      </c>
      <c r="S246" s="28">
        <v>11</v>
      </c>
      <c r="T246" s="28">
        <v>1</v>
      </c>
      <c r="U246" s="28">
        <v>27</v>
      </c>
      <c r="V246" s="28">
        <v>3</v>
      </c>
      <c r="W246" s="11" t="s">
        <v>230</v>
      </c>
      <c r="X246" t="str">
        <f t="shared" si="33"/>
        <v>Bangunan Gedung Tempat Kerja Lainnya Darurat</v>
      </c>
      <c r="Y246" s="13" t="s">
        <v>413</v>
      </c>
      <c r="Z246" s="13">
        <v>157</v>
      </c>
    </row>
    <row r="247" spans="1:26" ht="26.25" customHeight="1" x14ac:dyDescent="0.25">
      <c r="A247" t="s">
        <v>1129</v>
      </c>
      <c r="B247" t="str">
        <f t="shared" si="26"/>
        <v>....</v>
      </c>
      <c r="C247" t="str">
        <f t="shared" si="25"/>
        <v>Bertambah</v>
      </c>
      <c r="D247" t="str">
        <f t="shared" si="27"/>
        <v>1.3.3.01.01.30.004</v>
      </c>
      <c r="E247" s="12" t="s">
        <v>853</v>
      </c>
      <c r="F247" s="17">
        <v>1</v>
      </c>
      <c r="G247" s="17">
        <v>3</v>
      </c>
      <c r="H247" s="17">
        <v>3</v>
      </c>
      <c r="I247" s="18" t="s">
        <v>10</v>
      </c>
      <c r="J247" s="18" t="s">
        <v>10</v>
      </c>
      <c r="K247" s="17">
        <v>30</v>
      </c>
      <c r="L247" s="18" t="s">
        <v>20</v>
      </c>
      <c r="M247" s="19" t="s">
        <v>231</v>
      </c>
      <c r="N247" s="19" t="str">
        <f t="shared" si="31"/>
        <v>Gedung Pengujian Kendaraan Lainnya</v>
      </c>
      <c r="O247" t="b">
        <f t="shared" si="32"/>
        <v>0</v>
      </c>
      <c r="Q247" s="12" t="s">
        <v>853</v>
      </c>
      <c r="R247" s="29"/>
      <c r="S247" s="29"/>
      <c r="T247" s="29"/>
      <c r="U247" s="29"/>
      <c r="V247" s="29"/>
      <c r="W247" s="10"/>
      <c r="X247" t="str">
        <f t="shared" si="33"/>
        <v/>
      </c>
      <c r="Y247" s="10"/>
      <c r="Z247" s="10"/>
    </row>
    <row r="248" spans="1:26" ht="26.25" customHeight="1" x14ac:dyDescent="0.25">
      <c r="A248" t="s">
        <v>1272</v>
      </c>
      <c r="B248" t="str">
        <f t="shared" si="26"/>
        <v>3.11.1.27.4</v>
      </c>
      <c r="C248" t="str">
        <f t="shared" si="25"/>
        <v>Berubah</v>
      </c>
      <c r="D248" t="str">
        <f t="shared" si="27"/>
        <v>1.3.3.01.01.30.005</v>
      </c>
      <c r="E248" s="12" t="s">
        <v>854</v>
      </c>
      <c r="F248" s="17">
        <v>1</v>
      </c>
      <c r="G248" s="17">
        <v>3</v>
      </c>
      <c r="H248" s="4">
        <v>3</v>
      </c>
      <c r="I248" s="5" t="s">
        <v>10</v>
      </c>
      <c r="J248" s="5" t="s">
        <v>10</v>
      </c>
      <c r="K248" s="4">
        <v>30</v>
      </c>
      <c r="L248" s="5" t="s">
        <v>22</v>
      </c>
      <c r="M248" s="6" t="s">
        <v>23</v>
      </c>
      <c r="N248" s="19" t="str">
        <f t="shared" si="31"/>
        <v>Dst….</v>
      </c>
      <c r="O248" t="b">
        <f t="shared" si="32"/>
        <v>0</v>
      </c>
      <c r="Q248" s="12" t="s">
        <v>854</v>
      </c>
      <c r="R248" s="27">
        <v>3</v>
      </c>
      <c r="S248" s="28">
        <v>11</v>
      </c>
      <c r="T248" s="28">
        <v>1</v>
      </c>
      <c r="U248" s="28">
        <v>27</v>
      </c>
      <c r="V248" s="28">
        <v>4</v>
      </c>
      <c r="W248" s="11" t="s">
        <v>415</v>
      </c>
      <c r="X248" t="str">
        <f t="shared" si="33"/>
        <v>Lain-lain</v>
      </c>
      <c r="Y248" s="13" t="s">
        <v>413</v>
      </c>
      <c r="Z248" s="13">
        <v>158</v>
      </c>
    </row>
    <row r="249" spans="1:26" ht="26.25" customHeight="1" x14ac:dyDescent="0.25">
      <c r="A249" t="s">
        <v>1129</v>
      </c>
      <c r="B249" t="str">
        <f t="shared" si="26"/>
        <v>....</v>
      </c>
      <c r="C249" t="str">
        <f t="shared" si="25"/>
        <v>Bertambah</v>
      </c>
      <c r="D249" t="str">
        <f t="shared" si="27"/>
        <v>1.3.3.01.01.31.</v>
      </c>
      <c r="E249" s="12" t="s">
        <v>855</v>
      </c>
      <c r="F249" s="17">
        <v>1</v>
      </c>
      <c r="G249" s="17">
        <v>3</v>
      </c>
      <c r="H249" s="17">
        <v>3</v>
      </c>
      <c r="I249" s="18" t="s">
        <v>10</v>
      </c>
      <c r="J249" s="18" t="s">
        <v>10</v>
      </c>
      <c r="K249" s="17">
        <v>31</v>
      </c>
      <c r="L249" s="18"/>
      <c r="M249" s="19" t="s">
        <v>232</v>
      </c>
      <c r="N249" s="19" t="str">
        <f t="shared" si="31"/>
        <v>BANGUNAN PERALATAN GEOFISIKA</v>
      </c>
      <c r="O249" t="b">
        <f t="shared" si="32"/>
        <v>0</v>
      </c>
      <c r="Q249" s="12" t="s">
        <v>855</v>
      </c>
      <c r="R249" s="29"/>
      <c r="S249" s="29"/>
      <c r="T249" s="29"/>
      <c r="U249" s="29"/>
      <c r="V249" s="29"/>
      <c r="W249" s="10"/>
      <c r="X249" t="str">
        <f t="shared" si="33"/>
        <v/>
      </c>
      <c r="Y249" s="10"/>
      <c r="Z249" s="10"/>
    </row>
    <row r="250" spans="1:26" ht="26.25" customHeight="1" x14ac:dyDescent="0.25">
      <c r="A250" t="s">
        <v>1129</v>
      </c>
      <c r="B250" t="str">
        <f t="shared" si="26"/>
        <v>....</v>
      </c>
      <c r="C250" t="str">
        <f t="shared" ref="C250:C313" si="34">IF(R250&lt;&gt;"",IF(F250="","Keluar","Berubah"),"Bertambah")</f>
        <v>Bertambah</v>
      </c>
      <c r="D250" t="str">
        <f t="shared" si="27"/>
        <v>1.3.3.01.01.31.001</v>
      </c>
      <c r="E250" s="12" t="s">
        <v>856</v>
      </c>
      <c r="F250" s="17">
        <v>1</v>
      </c>
      <c r="G250" s="17">
        <v>3</v>
      </c>
      <c r="H250" s="17">
        <v>3</v>
      </c>
      <c r="I250" s="18" t="s">
        <v>10</v>
      </c>
      <c r="J250" s="18" t="s">
        <v>10</v>
      </c>
      <c r="K250" s="17">
        <v>31</v>
      </c>
      <c r="L250" s="18" t="s">
        <v>14</v>
      </c>
      <c r="M250" s="19" t="s">
        <v>233</v>
      </c>
      <c r="N250" s="19" t="str">
        <f t="shared" si="31"/>
        <v>Bunker Seismik Vault</v>
      </c>
      <c r="O250" t="b">
        <f t="shared" si="32"/>
        <v>0</v>
      </c>
      <c r="Q250" s="12" t="s">
        <v>856</v>
      </c>
      <c r="R250" s="29"/>
      <c r="S250" s="29"/>
      <c r="T250" s="29"/>
      <c r="U250" s="29"/>
      <c r="V250" s="29"/>
      <c r="W250" s="10"/>
      <c r="X250" t="str">
        <f t="shared" si="33"/>
        <v/>
      </c>
      <c r="Y250" s="10"/>
      <c r="Z250" s="10"/>
    </row>
    <row r="251" spans="1:26" ht="26.25" customHeight="1" x14ac:dyDescent="0.25">
      <c r="A251" t="s">
        <v>1129</v>
      </c>
      <c r="B251" t="str">
        <f t="shared" si="26"/>
        <v>....</v>
      </c>
      <c r="C251" t="str">
        <f t="shared" si="34"/>
        <v>Bertambah</v>
      </c>
      <c r="D251" t="str">
        <f t="shared" si="27"/>
        <v>1.3.3.01.01.31.002</v>
      </c>
      <c r="E251" s="12" t="s">
        <v>857</v>
      </c>
      <c r="F251" s="17">
        <v>1</v>
      </c>
      <c r="G251" s="17">
        <v>3</v>
      </c>
      <c r="H251" s="17">
        <v>3</v>
      </c>
      <c r="I251" s="18" t="s">
        <v>10</v>
      </c>
      <c r="J251" s="18" t="s">
        <v>10</v>
      </c>
      <c r="K251" s="17">
        <v>31</v>
      </c>
      <c r="L251" s="18" t="s">
        <v>16</v>
      </c>
      <c r="M251" s="19" t="s">
        <v>234</v>
      </c>
      <c r="N251" s="19" t="str">
        <f t="shared" si="31"/>
        <v>Bangunan Seismik Vault di Atas Tanah</v>
      </c>
      <c r="O251" t="b">
        <f t="shared" si="32"/>
        <v>0</v>
      </c>
      <c r="Q251" s="12" t="s">
        <v>857</v>
      </c>
      <c r="R251" s="29"/>
      <c r="S251" s="29"/>
      <c r="T251" s="29"/>
      <c r="U251" s="29"/>
      <c r="V251" s="29"/>
      <c r="W251" s="10"/>
      <c r="X251" t="str">
        <f t="shared" si="33"/>
        <v/>
      </c>
      <c r="Y251" s="10"/>
      <c r="Z251" s="10"/>
    </row>
    <row r="252" spans="1:26" ht="26.25" customHeight="1" x14ac:dyDescent="0.25">
      <c r="A252" t="s">
        <v>1129</v>
      </c>
      <c r="B252" t="str">
        <f t="shared" si="26"/>
        <v>....</v>
      </c>
      <c r="C252" t="str">
        <f t="shared" si="34"/>
        <v>Bertambah</v>
      </c>
      <c r="D252" t="str">
        <f t="shared" si="27"/>
        <v>1.3.3.01.01.31.003</v>
      </c>
      <c r="E252" s="12" t="s">
        <v>858</v>
      </c>
      <c r="F252" s="17">
        <v>1</v>
      </c>
      <c r="G252" s="17">
        <v>3</v>
      </c>
      <c r="H252" s="17">
        <v>3</v>
      </c>
      <c r="I252" s="18" t="s">
        <v>10</v>
      </c>
      <c r="J252" s="18" t="s">
        <v>10</v>
      </c>
      <c r="K252" s="17">
        <v>31</v>
      </c>
      <c r="L252" s="18" t="s">
        <v>18</v>
      </c>
      <c r="M252" s="19" t="s">
        <v>235</v>
      </c>
      <c r="N252" s="19" t="str">
        <f t="shared" si="31"/>
        <v>Bangunan Magnet Bumi</v>
      </c>
      <c r="O252" t="b">
        <f t="shared" si="32"/>
        <v>0</v>
      </c>
      <c r="Q252" s="12" t="s">
        <v>858</v>
      </c>
      <c r="R252" s="29"/>
      <c r="S252" s="29"/>
      <c r="T252" s="29"/>
      <c r="U252" s="29"/>
      <c r="V252" s="29"/>
      <c r="W252" s="10"/>
      <c r="X252" t="str">
        <f t="shared" si="33"/>
        <v/>
      </c>
      <c r="Y252" s="10"/>
      <c r="Z252" s="10"/>
    </row>
    <row r="253" spans="1:26" ht="26.25" customHeight="1" x14ac:dyDescent="0.25">
      <c r="A253" t="s">
        <v>1129</v>
      </c>
      <c r="B253" t="str">
        <f t="shared" si="26"/>
        <v>....</v>
      </c>
      <c r="C253" t="str">
        <f t="shared" si="34"/>
        <v>Bertambah</v>
      </c>
      <c r="D253" t="str">
        <f t="shared" si="27"/>
        <v>1.3.3.01.01.31.004</v>
      </c>
      <c r="E253" s="12" t="s">
        <v>859</v>
      </c>
      <c r="F253" s="17">
        <v>1</v>
      </c>
      <c r="G253" s="17">
        <v>3</v>
      </c>
      <c r="H253" s="17">
        <v>3</v>
      </c>
      <c r="I253" s="18" t="s">
        <v>10</v>
      </c>
      <c r="J253" s="18" t="s">
        <v>10</v>
      </c>
      <c r="K253" s="17">
        <v>31</v>
      </c>
      <c r="L253" s="18" t="s">
        <v>20</v>
      </c>
      <c r="M253" s="19" t="s">
        <v>236</v>
      </c>
      <c r="N253" s="19" t="str">
        <f t="shared" si="31"/>
        <v>Bangunan Pilar Gaya Berat</v>
      </c>
      <c r="O253" t="b">
        <f t="shared" si="32"/>
        <v>0</v>
      </c>
      <c r="Q253" s="12" t="s">
        <v>859</v>
      </c>
      <c r="R253" s="29"/>
      <c r="S253" s="29"/>
      <c r="T253" s="29"/>
      <c r="U253" s="29"/>
      <c r="V253" s="29"/>
      <c r="W253" s="10"/>
      <c r="X253" t="str">
        <f t="shared" si="33"/>
        <v/>
      </c>
      <c r="Y253" s="10"/>
      <c r="Z253" s="10"/>
    </row>
    <row r="254" spans="1:26" ht="26.25" customHeight="1" x14ac:dyDescent="0.25">
      <c r="A254" t="s">
        <v>1129</v>
      </c>
      <c r="B254" t="str">
        <f t="shared" si="26"/>
        <v>....</v>
      </c>
      <c r="C254" t="str">
        <f t="shared" si="34"/>
        <v>Bertambah</v>
      </c>
      <c r="D254" t="str">
        <f t="shared" si="27"/>
        <v>1.3.3.01.01.31.005</v>
      </c>
      <c r="E254" s="12" t="s">
        <v>860</v>
      </c>
      <c r="F254" s="17">
        <v>1</v>
      </c>
      <c r="G254" s="17">
        <v>3</v>
      </c>
      <c r="H254" s="17">
        <v>3</v>
      </c>
      <c r="I254" s="18" t="s">
        <v>10</v>
      </c>
      <c r="J254" s="18" t="s">
        <v>10</v>
      </c>
      <c r="K254" s="17">
        <v>31</v>
      </c>
      <c r="L254" s="18" t="s">
        <v>22</v>
      </c>
      <c r="M254" s="19" t="s">
        <v>237</v>
      </c>
      <c r="N254" s="19" t="str">
        <f t="shared" si="31"/>
        <v>Bangunan Teropong Bintang Transit</v>
      </c>
      <c r="O254" t="b">
        <f t="shared" si="32"/>
        <v>0</v>
      </c>
      <c r="Q254" s="12" t="s">
        <v>860</v>
      </c>
      <c r="R254" s="29"/>
      <c r="S254" s="29"/>
      <c r="T254" s="29"/>
      <c r="U254" s="29"/>
      <c r="V254" s="29"/>
      <c r="W254" s="10"/>
      <c r="X254" t="str">
        <f t="shared" si="33"/>
        <v/>
      </c>
      <c r="Y254" s="10"/>
      <c r="Z254" s="10"/>
    </row>
    <row r="255" spans="1:26" ht="26.25" customHeight="1" x14ac:dyDescent="0.25">
      <c r="A255" t="s">
        <v>1129</v>
      </c>
      <c r="B255" t="str">
        <f t="shared" si="26"/>
        <v>....</v>
      </c>
      <c r="C255" t="str">
        <f t="shared" si="34"/>
        <v>Bertambah</v>
      </c>
      <c r="D255" t="str">
        <f t="shared" si="27"/>
        <v>1.3.3.01.01.31.006</v>
      </c>
      <c r="E255" s="12" t="s">
        <v>861</v>
      </c>
      <c r="F255" s="17">
        <v>1</v>
      </c>
      <c r="G255" s="17">
        <v>3</v>
      </c>
      <c r="H255" s="17">
        <v>3</v>
      </c>
      <c r="I255" s="18" t="s">
        <v>10</v>
      </c>
      <c r="J255" s="18" t="s">
        <v>10</v>
      </c>
      <c r="K255" s="17">
        <v>31</v>
      </c>
      <c r="L255" s="18" t="s">
        <v>31</v>
      </c>
      <c r="M255" s="19" t="s">
        <v>238</v>
      </c>
      <c r="N255" s="19" t="str">
        <f t="shared" si="31"/>
        <v>Bangunan Rukyat Hilal</v>
      </c>
      <c r="O255" t="b">
        <f t="shared" si="32"/>
        <v>0</v>
      </c>
      <c r="Q255" s="12" t="s">
        <v>861</v>
      </c>
      <c r="R255" s="29"/>
      <c r="S255" s="29"/>
      <c r="T255" s="29"/>
      <c r="U255" s="29"/>
      <c r="V255" s="29"/>
      <c r="W255" s="10"/>
      <c r="X255" t="str">
        <f t="shared" si="33"/>
        <v/>
      </c>
      <c r="Y255" s="10"/>
      <c r="Z255" s="10"/>
    </row>
    <row r="256" spans="1:26" ht="26.25" customHeight="1" x14ac:dyDescent="0.25">
      <c r="A256" t="s">
        <v>1129</v>
      </c>
      <c r="B256" t="str">
        <f t="shared" si="26"/>
        <v>....</v>
      </c>
      <c r="C256" t="str">
        <f t="shared" si="34"/>
        <v>Bertambah</v>
      </c>
      <c r="D256" t="str">
        <f t="shared" si="27"/>
        <v>1.3.3.01.01.31.007</v>
      </c>
      <c r="E256" s="12" t="s">
        <v>862</v>
      </c>
      <c r="F256" s="17">
        <v>1</v>
      </c>
      <c r="G256" s="17">
        <v>3</v>
      </c>
      <c r="H256" s="17">
        <v>3</v>
      </c>
      <c r="I256" s="18" t="s">
        <v>10</v>
      </c>
      <c r="J256" s="18" t="s">
        <v>10</v>
      </c>
      <c r="K256" s="17">
        <v>31</v>
      </c>
      <c r="L256" s="18" t="s">
        <v>33</v>
      </c>
      <c r="M256" s="19" t="s">
        <v>23</v>
      </c>
      <c r="N256" s="19" t="str">
        <f t="shared" si="31"/>
        <v>Dst….</v>
      </c>
      <c r="O256" t="b">
        <f t="shared" si="32"/>
        <v>0</v>
      </c>
      <c r="Q256" s="12" t="s">
        <v>862</v>
      </c>
      <c r="R256" s="29"/>
      <c r="S256" s="29"/>
      <c r="T256" s="29"/>
      <c r="U256" s="29"/>
      <c r="V256" s="29"/>
      <c r="W256" s="10"/>
      <c r="X256" t="str">
        <f t="shared" si="33"/>
        <v/>
      </c>
      <c r="Y256" s="10"/>
      <c r="Z256" s="10"/>
    </row>
    <row r="257" spans="1:26" ht="26.25" customHeight="1" x14ac:dyDescent="0.25">
      <c r="A257" t="s">
        <v>1129</v>
      </c>
      <c r="B257" t="str">
        <f t="shared" si="26"/>
        <v>....</v>
      </c>
      <c r="C257" t="str">
        <f t="shared" si="34"/>
        <v>Bertambah</v>
      </c>
      <c r="D257" t="str">
        <f t="shared" si="27"/>
        <v>1.3.3.01.01.32.</v>
      </c>
      <c r="E257" s="12" t="s">
        <v>863</v>
      </c>
      <c r="F257" s="17">
        <v>1</v>
      </c>
      <c r="G257" s="17">
        <v>3</v>
      </c>
      <c r="H257" s="17">
        <v>3</v>
      </c>
      <c r="I257" s="18" t="s">
        <v>10</v>
      </c>
      <c r="J257" s="18" t="s">
        <v>10</v>
      </c>
      <c r="K257" s="17">
        <v>32</v>
      </c>
      <c r="L257" s="18"/>
      <c r="M257" s="19" t="s">
        <v>239</v>
      </c>
      <c r="N257" s="19" t="str">
        <f t="shared" si="31"/>
        <v>BANGUNAN FASILITAS UMUM</v>
      </c>
      <c r="O257" t="b">
        <f t="shared" si="32"/>
        <v>0</v>
      </c>
      <c r="Q257" s="12" t="s">
        <v>863</v>
      </c>
      <c r="R257" s="29"/>
      <c r="S257" s="29"/>
      <c r="T257" s="29"/>
      <c r="U257" s="29"/>
      <c r="V257" s="29"/>
      <c r="W257" s="10"/>
      <c r="X257" t="str">
        <f t="shared" si="33"/>
        <v/>
      </c>
      <c r="Y257" s="10"/>
      <c r="Z257" s="10"/>
    </row>
    <row r="258" spans="1:26" ht="26.25" customHeight="1" x14ac:dyDescent="0.25">
      <c r="A258" t="s">
        <v>1129</v>
      </c>
      <c r="B258" t="str">
        <f t="shared" si="26"/>
        <v>....</v>
      </c>
      <c r="C258" t="str">
        <f t="shared" si="34"/>
        <v>Bertambah</v>
      </c>
      <c r="D258" t="str">
        <f t="shared" si="27"/>
        <v>1.3.3.01.01.32.001</v>
      </c>
      <c r="E258" s="12" t="s">
        <v>864</v>
      </c>
      <c r="F258" s="17">
        <v>1</v>
      </c>
      <c r="G258" s="17">
        <v>3</v>
      </c>
      <c r="H258" s="17">
        <v>3</v>
      </c>
      <c r="I258" s="18" t="s">
        <v>10</v>
      </c>
      <c r="J258" s="18" t="s">
        <v>10</v>
      </c>
      <c r="K258" s="17">
        <v>32</v>
      </c>
      <c r="L258" s="18" t="s">
        <v>14</v>
      </c>
      <c r="M258" s="19" t="s">
        <v>240</v>
      </c>
      <c r="N258" s="19" t="str">
        <f t="shared" si="31"/>
        <v>Bangunan Tempat Parkir</v>
      </c>
      <c r="O258" t="b">
        <f t="shared" si="32"/>
        <v>0</v>
      </c>
      <c r="Q258" s="12" t="s">
        <v>864</v>
      </c>
      <c r="R258" s="29"/>
      <c r="S258" s="29"/>
      <c r="T258" s="29"/>
      <c r="U258" s="29"/>
      <c r="V258" s="29"/>
      <c r="W258" s="10"/>
      <c r="X258" t="str">
        <f t="shared" si="33"/>
        <v/>
      </c>
      <c r="Y258" s="10"/>
      <c r="Z258" s="10"/>
    </row>
    <row r="259" spans="1:26" ht="26.25" customHeight="1" x14ac:dyDescent="0.25">
      <c r="A259" t="s">
        <v>1129</v>
      </c>
      <c r="B259" t="str">
        <f t="shared" si="26"/>
        <v>....</v>
      </c>
      <c r="C259" t="str">
        <f t="shared" si="34"/>
        <v>Bertambah</v>
      </c>
      <c r="D259" t="str">
        <f t="shared" si="27"/>
        <v>1.3.3.01.01.32.002</v>
      </c>
      <c r="E259" s="12" t="s">
        <v>865</v>
      </c>
      <c r="F259" s="17">
        <v>1</v>
      </c>
      <c r="G259" s="17">
        <v>3</v>
      </c>
      <c r="H259" s="17">
        <v>3</v>
      </c>
      <c r="I259" s="18" t="s">
        <v>10</v>
      </c>
      <c r="J259" s="18" t="s">
        <v>10</v>
      </c>
      <c r="K259" s="17">
        <v>32</v>
      </c>
      <c r="L259" s="18" t="s">
        <v>16</v>
      </c>
      <c r="M259" s="19" t="s">
        <v>241</v>
      </c>
      <c r="N259" s="19" t="str">
        <f t="shared" si="31"/>
        <v>Bangunan Tempat Bermain Anak</v>
      </c>
      <c r="O259" t="b">
        <f t="shared" si="32"/>
        <v>0</v>
      </c>
      <c r="Q259" s="12" t="s">
        <v>865</v>
      </c>
      <c r="R259" s="29"/>
      <c r="S259" s="29"/>
      <c r="T259" s="29"/>
      <c r="U259" s="29"/>
      <c r="V259" s="29"/>
      <c r="W259" s="10"/>
      <c r="X259" t="str">
        <f t="shared" si="33"/>
        <v/>
      </c>
      <c r="Y259" s="10"/>
      <c r="Z259" s="10"/>
    </row>
    <row r="260" spans="1:26" ht="26.25" customHeight="1" x14ac:dyDescent="0.25">
      <c r="A260" t="s">
        <v>1129</v>
      </c>
      <c r="B260" t="str">
        <f t="shared" si="26"/>
        <v>....</v>
      </c>
      <c r="C260" t="str">
        <f t="shared" si="34"/>
        <v>Bertambah</v>
      </c>
      <c r="D260" t="str">
        <f t="shared" si="27"/>
        <v>1.3.3.01.01.32.003</v>
      </c>
      <c r="E260" s="12" t="s">
        <v>866</v>
      </c>
      <c r="F260" s="17">
        <v>1</v>
      </c>
      <c r="G260" s="17">
        <v>3</v>
      </c>
      <c r="H260" s="17">
        <v>3</v>
      </c>
      <c r="I260" s="18" t="s">
        <v>10</v>
      </c>
      <c r="J260" s="18" t="s">
        <v>10</v>
      </c>
      <c r="K260" s="17">
        <v>32</v>
      </c>
      <c r="L260" s="18" t="s">
        <v>18</v>
      </c>
      <c r="M260" s="19" t="s">
        <v>242</v>
      </c>
      <c r="N260" s="19" t="str">
        <f t="shared" si="31"/>
        <v>Bangunan Penerangan Jalan</v>
      </c>
      <c r="O260" t="b">
        <f t="shared" si="32"/>
        <v>0</v>
      </c>
      <c r="Q260" s="12" t="s">
        <v>866</v>
      </c>
      <c r="R260" s="29"/>
      <c r="S260" s="29"/>
      <c r="T260" s="29"/>
      <c r="U260" s="29"/>
      <c r="V260" s="29"/>
      <c r="W260" s="10"/>
      <c r="X260" t="str">
        <f t="shared" si="33"/>
        <v/>
      </c>
      <c r="Y260" s="10"/>
      <c r="Z260" s="10"/>
    </row>
    <row r="261" spans="1:26" ht="26.25" customHeight="1" x14ac:dyDescent="0.25">
      <c r="A261" t="s">
        <v>1129</v>
      </c>
      <c r="B261" t="str">
        <f t="shared" si="26"/>
        <v>....</v>
      </c>
      <c r="C261" t="str">
        <f t="shared" si="34"/>
        <v>Bertambah</v>
      </c>
      <c r="D261" t="str">
        <f t="shared" si="27"/>
        <v>1.3.3.01.01.32.004</v>
      </c>
      <c r="E261" s="12" t="s">
        <v>867</v>
      </c>
      <c r="F261" s="17">
        <v>1</v>
      </c>
      <c r="G261" s="17">
        <v>3</v>
      </c>
      <c r="H261" s="17">
        <v>3</v>
      </c>
      <c r="I261" s="18" t="s">
        <v>10</v>
      </c>
      <c r="J261" s="18" t="s">
        <v>10</v>
      </c>
      <c r="K261" s="17">
        <v>32</v>
      </c>
      <c r="L261" s="18" t="s">
        <v>20</v>
      </c>
      <c r="M261" s="19" t="s">
        <v>243</v>
      </c>
      <c r="N261" s="19" t="str">
        <f t="shared" si="31"/>
        <v>Bangunan Penerangan Taman</v>
      </c>
      <c r="O261" t="b">
        <f t="shared" si="32"/>
        <v>0</v>
      </c>
      <c r="Q261" s="12" t="s">
        <v>867</v>
      </c>
      <c r="R261" s="29"/>
      <c r="S261" s="29"/>
      <c r="T261" s="29"/>
      <c r="U261" s="29"/>
      <c r="V261" s="29"/>
      <c r="W261" s="10"/>
      <c r="X261" t="str">
        <f t="shared" si="33"/>
        <v/>
      </c>
      <c r="Y261" s="10"/>
      <c r="Z261" s="10"/>
    </row>
    <row r="262" spans="1:26" ht="26.25" customHeight="1" x14ac:dyDescent="0.25">
      <c r="A262" t="s">
        <v>1129</v>
      </c>
      <c r="B262" t="str">
        <f t="shared" si="26"/>
        <v>....</v>
      </c>
      <c r="C262" t="str">
        <f t="shared" si="34"/>
        <v>Bertambah</v>
      </c>
      <c r="D262" t="str">
        <f t="shared" si="27"/>
        <v>1.3.3.01.01.32.005</v>
      </c>
      <c r="E262" s="12" t="s">
        <v>868</v>
      </c>
      <c r="F262" s="17">
        <v>1</v>
      </c>
      <c r="G262" s="17">
        <v>3</v>
      </c>
      <c r="H262" s="17">
        <v>3</v>
      </c>
      <c r="I262" s="18" t="s">
        <v>10</v>
      </c>
      <c r="J262" s="18" t="s">
        <v>10</v>
      </c>
      <c r="K262" s="17">
        <v>32</v>
      </c>
      <c r="L262" s="18" t="s">
        <v>22</v>
      </c>
      <c r="M262" s="19" t="s">
        <v>23</v>
      </c>
      <c r="N262" s="19" t="str">
        <f t="shared" si="31"/>
        <v>Dst….</v>
      </c>
      <c r="O262" t="b">
        <f t="shared" si="32"/>
        <v>0</v>
      </c>
      <c r="Q262" s="12" t="s">
        <v>868</v>
      </c>
      <c r="R262" s="29"/>
      <c r="S262" s="29"/>
      <c r="T262" s="29"/>
      <c r="U262" s="29"/>
      <c r="V262" s="29"/>
      <c r="W262" s="10"/>
      <c r="X262" t="str">
        <f t="shared" si="33"/>
        <v/>
      </c>
      <c r="Y262" s="10"/>
      <c r="Z262" s="10"/>
    </row>
    <row r="263" spans="1:26" ht="26.25" customHeight="1" x14ac:dyDescent="0.25">
      <c r="A263" t="s">
        <v>1129</v>
      </c>
      <c r="B263" t="str">
        <f t="shared" ref="B263:B326" si="35">R263&amp;"."&amp;S263&amp;"."&amp;T263&amp;"."&amp;U263&amp;"."&amp;V263</f>
        <v>....</v>
      </c>
      <c r="C263" t="str">
        <f t="shared" si="34"/>
        <v>Bertambah</v>
      </c>
      <c r="D263" t="str">
        <f t="shared" si="27"/>
        <v>1.3.3.01.01.33.</v>
      </c>
      <c r="E263" s="12" t="s">
        <v>869</v>
      </c>
      <c r="F263" s="17">
        <v>1</v>
      </c>
      <c r="G263" s="17">
        <v>3</v>
      </c>
      <c r="H263" s="17">
        <v>3</v>
      </c>
      <c r="I263" s="18" t="s">
        <v>10</v>
      </c>
      <c r="J263" s="18" t="s">
        <v>10</v>
      </c>
      <c r="K263" s="17">
        <v>33</v>
      </c>
      <c r="L263" s="18"/>
      <c r="M263" s="19" t="s">
        <v>244</v>
      </c>
      <c r="N263" s="19" t="str">
        <f t="shared" si="31"/>
        <v>BANGUNAN PARKIR</v>
      </c>
      <c r="O263" t="b">
        <f t="shared" si="32"/>
        <v>0</v>
      </c>
      <c r="Q263" s="12" t="s">
        <v>869</v>
      </c>
      <c r="R263" s="29"/>
      <c r="S263" s="29"/>
      <c r="T263" s="29"/>
      <c r="U263" s="29"/>
      <c r="V263" s="29"/>
      <c r="W263" s="10"/>
      <c r="X263" t="str">
        <f t="shared" si="33"/>
        <v/>
      </c>
      <c r="Y263" s="10"/>
      <c r="Z263" s="10"/>
    </row>
    <row r="264" spans="1:26" ht="26.25" customHeight="1" x14ac:dyDescent="0.25">
      <c r="A264" t="s">
        <v>1129</v>
      </c>
      <c r="B264" t="str">
        <f t="shared" si="35"/>
        <v>....</v>
      </c>
      <c r="C264" t="str">
        <f t="shared" si="34"/>
        <v>Bertambah</v>
      </c>
      <c r="D264" t="str">
        <f t="shared" ref="D264:D327" si="36">F264&amp;"."&amp;G264&amp;"."&amp;H264&amp;"."&amp;I264&amp;"."&amp;J264&amp;"."&amp;K264&amp;"."&amp;L264</f>
        <v>1.3.3.01.01.33.001</v>
      </c>
      <c r="E264" s="12" t="s">
        <v>870</v>
      </c>
      <c r="F264" s="17">
        <v>1</v>
      </c>
      <c r="G264" s="17">
        <v>3</v>
      </c>
      <c r="H264" s="17">
        <v>3</v>
      </c>
      <c r="I264" s="18" t="s">
        <v>10</v>
      </c>
      <c r="J264" s="18" t="s">
        <v>10</v>
      </c>
      <c r="K264" s="17">
        <v>33</v>
      </c>
      <c r="L264" s="18" t="s">
        <v>14</v>
      </c>
      <c r="M264" s="19" t="s">
        <v>245</v>
      </c>
      <c r="N264" s="19" t="str">
        <f t="shared" si="31"/>
        <v>Bangunan Parkir Terbuka Permanen</v>
      </c>
      <c r="O264" t="b">
        <f t="shared" si="32"/>
        <v>0</v>
      </c>
      <c r="Q264" s="12" t="s">
        <v>870</v>
      </c>
      <c r="R264" s="29"/>
      <c r="S264" s="29"/>
      <c r="T264" s="29"/>
      <c r="U264" s="29"/>
      <c r="V264" s="29"/>
      <c r="W264" s="10"/>
      <c r="X264" t="str">
        <f t="shared" si="33"/>
        <v/>
      </c>
      <c r="Y264" s="10"/>
      <c r="Z264" s="10"/>
    </row>
    <row r="265" spans="1:26" ht="26.25" customHeight="1" x14ac:dyDescent="0.25">
      <c r="A265" t="s">
        <v>1129</v>
      </c>
      <c r="B265" t="str">
        <f t="shared" si="35"/>
        <v>....</v>
      </c>
      <c r="C265" t="str">
        <f t="shared" si="34"/>
        <v>Bertambah</v>
      </c>
      <c r="D265" t="str">
        <f t="shared" si="36"/>
        <v>1.3.3.01.01.33.002</v>
      </c>
      <c r="E265" s="12" t="s">
        <v>871</v>
      </c>
      <c r="F265" s="17">
        <v>1</v>
      </c>
      <c r="G265" s="17">
        <v>3</v>
      </c>
      <c r="H265" s="17">
        <v>3</v>
      </c>
      <c r="I265" s="18" t="s">
        <v>10</v>
      </c>
      <c r="J265" s="18" t="s">
        <v>10</v>
      </c>
      <c r="K265" s="17">
        <v>33</v>
      </c>
      <c r="L265" s="18" t="s">
        <v>16</v>
      </c>
      <c r="M265" s="19" t="s">
        <v>246</v>
      </c>
      <c r="N265" s="19" t="str">
        <f t="shared" si="31"/>
        <v>Bangunan Parkir Terbuka Semi Permanen</v>
      </c>
      <c r="O265" t="b">
        <f t="shared" si="32"/>
        <v>0</v>
      </c>
      <c r="Q265" s="12" t="s">
        <v>871</v>
      </c>
      <c r="R265" s="29"/>
      <c r="S265" s="29"/>
      <c r="T265" s="29"/>
      <c r="U265" s="29"/>
      <c r="V265" s="29"/>
      <c r="W265" s="10"/>
      <c r="X265" t="str">
        <f t="shared" si="33"/>
        <v/>
      </c>
      <c r="Y265" s="10"/>
      <c r="Z265" s="10"/>
    </row>
    <row r="266" spans="1:26" ht="26.25" customHeight="1" x14ac:dyDescent="0.25">
      <c r="A266" t="s">
        <v>1129</v>
      </c>
      <c r="B266" t="str">
        <f t="shared" si="35"/>
        <v>....</v>
      </c>
      <c r="C266" t="str">
        <f t="shared" si="34"/>
        <v>Bertambah</v>
      </c>
      <c r="D266" t="str">
        <f t="shared" si="36"/>
        <v>1.3.3.01.01.33.003</v>
      </c>
      <c r="E266" s="12" t="s">
        <v>872</v>
      </c>
      <c r="F266" s="17">
        <v>1</v>
      </c>
      <c r="G266" s="17">
        <v>3</v>
      </c>
      <c r="H266" s="17">
        <v>3</v>
      </c>
      <c r="I266" s="18" t="s">
        <v>10</v>
      </c>
      <c r="J266" s="18" t="s">
        <v>10</v>
      </c>
      <c r="K266" s="17">
        <v>33</v>
      </c>
      <c r="L266" s="18" t="s">
        <v>18</v>
      </c>
      <c r="M266" s="19" t="s">
        <v>247</v>
      </c>
      <c r="N266" s="19" t="str">
        <f t="shared" si="31"/>
        <v>Bangunan Parkir Terbuka Darurat</v>
      </c>
      <c r="O266" t="b">
        <f t="shared" si="32"/>
        <v>0</v>
      </c>
      <c r="Q266" s="12" t="s">
        <v>872</v>
      </c>
      <c r="R266" s="29"/>
      <c r="S266" s="29"/>
      <c r="T266" s="29"/>
      <c r="U266" s="29"/>
      <c r="V266" s="29"/>
      <c r="W266" s="10"/>
      <c r="X266" t="str">
        <f t="shared" si="33"/>
        <v/>
      </c>
      <c r="Y266" s="10"/>
      <c r="Z266" s="10"/>
    </row>
    <row r="267" spans="1:26" ht="26.25" customHeight="1" x14ac:dyDescent="0.25">
      <c r="A267" t="s">
        <v>1129</v>
      </c>
      <c r="B267" t="str">
        <f t="shared" si="35"/>
        <v>....</v>
      </c>
      <c r="C267" t="str">
        <f t="shared" si="34"/>
        <v>Bertambah</v>
      </c>
      <c r="D267" t="str">
        <f t="shared" si="36"/>
        <v>1.3.3.01.01.33.004</v>
      </c>
      <c r="E267" s="12" t="s">
        <v>873</v>
      </c>
      <c r="F267" s="17">
        <v>1</v>
      </c>
      <c r="G267" s="17">
        <v>3</v>
      </c>
      <c r="H267" s="17">
        <v>3</v>
      </c>
      <c r="I267" s="18" t="s">
        <v>10</v>
      </c>
      <c r="J267" s="18" t="s">
        <v>10</v>
      </c>
      <c r="K267" s="17">
        <v>33</v>
      </c>
      <c r="L267" s="18" t="s">
        <v>20</v>
      </c>
      <c r="M267" s="19" t="s">
        <v>248</v>
      </c>
      <c r="N267" s="19" t="str">
        <f t="shared" si="31"/>
        <v>Bangunan Parkir Tertutup Permanen</v>
      </c>
      <c r="O267" t="b">
        <f t="shared" si="32"/>
        <v>0</v>
      </c>
      <c r="Q267" s="12" t="s">
        <v>873</v>
      </c>
      <c r="R267" s="29"/>
      <c r="S267" s="29"/>
      <c r="T267" s="29"/>
      <c r="U267" s="29"/>
      <c r="V267" s="29"/>
      <c r="W267" s="10"/>
      <c r="X267" t="str">
        <f t="shared" si="33"/>
        <v/>
      </c>
      <c r="Y267" s="10"/>
      <c r="Z267" s="10"/>
    </row>
    <row r="268" spans="1:26" ht="26.25" customHeight="1" x14ac:dyDescent="0.25">
      <c r="A268" t="s">
        <v>1129</v>
      </c>
      <c r="B268" t="str">
        <f t="shared" si="35"/>
        <v>....</v>
      </c>
      <c r="C268" t="str">
        <f t="shared" si="34"/>
        <v>Bertambah</v>
      </c>
      <c r="D268" t="str">
        <f t="shared" si="36"/>
        <v>1.3.3.01.01.33.005</v>
      </c>
      <c r="E268" s="12" t="s">
        <v>874</v>
      </c>
      <c r="F268" s="17">
        <v>1</v>
      </c>
      <c r="G268" s="17">
        <v>3</v>
      </c>
      <c r="H268" s="17">
        <v>3</v>
      </c>
      <c r="I268" s="18" t="s">
        <v>10</v>
      </c>
      <c r="J268" s="18" t="s">
        <v>10</v>
      </c>
      <c r="K268" s="17">
        <v>33</v>
      </c>
      <c r="L268" s="18" t="s">
        <v>22</v>
      </c>
      <c r="M268" s="19" t="s">
        <v>249</v>
      </c>
      <c r="N268" s="19" t="str">
        <f t="shared" si="31"/>
        <v>Bangunan Parkir Tertutup Semi Permanen</v>
      </c>
      <c r="O268" t="b">
        <f t="shared" si="32"/>
        <v>0</v>
      </c>
      <c r="Q268" s="12" t="s">
        <v>874</v>
      </c>
      <c r="R268" s="29"/>
      <c r="S268" s="29"/>
      <c r="T268" s="29"/>
      <c r="U268" s="29"/>
      <c r="V268" s="29"/>
      <c r="W268" s="10"/>
      <c r="X268" t="str">
        <f t="shared" si="33"/>
        <v/>
      </c>
      <c r="Y268" s="10"/>
      <c r="Z268" s="10"/>
    </row>
    <row r="269" spans="1:26" ht="26.25" customHeight="1" x14ac:dyDescent="0.25">
      <c r="A269" t="s">
        <v>1129</v>
      </c>
      <c r="B269" t="str">
        <f t="shared" si="35"/>
        <v>....</v>
      </c>
      <c r="C269" t="str">
        <f t="shared" si="34"/>
        <v>Bertambah</v>
      </c>
      <c r="D269" t="str">
        <f t="shared" si="36"/>
        <v>1.3.3.01.01.33.006</v>
      </c>
      <c r="E269" s="12" t="s">
        <v>875</v>
      </c>
      <c r="F269" s="17">
        <v>1</v>
      </c>
      <c r="G269" s="17">
        <v>3</v>
      </c>
      <c r="H269" s="17">
        <v>3</v>
      </c>
      <c r="I269" s="18" t="s">
        <v>10</v>
      </c>
      <c r="J269" s="18" t="s">
        <v>10</v>
      </c>
      <c r="K269" s="17">
        <v>33</v>
      </c>
      <c r="L269" s="18" t="s">
        <v>31</v>
      </c>
      <c r="M269" s="19" t="s">
        <v>250</v>
      </c>
      <c r="N269" s="19" t="str">
        <f t="shared" si="31"/>
        <v>Bangunan Parkir Tertutup Darurat</v>
      </c>
      <c r="O269" t="b">
        <f t="shared" si="32"/>
        <v>0</v>
      </c>
      <c r="Q269" s="12" t="s">
        <v>875</v>
      </c>
      <c r="R269" s="29"/>
      <c r="S269" s="29"/>
      <c r="T269" s="29"/>
      <c r="U269" s="29"/>
      <c r="V269" s="29"/>
      <c r="W269" s="10"/>
      <c r="X269" t="str">
        <f t="shared" si="33"/>
        <v/>
      </c>
      <c r="Y269" s="10"/>
      <c r="Z269" s="10"/>
    </row>
    <row r="270" spans="1:26" ht="26.25" customHeight="1" x14ac:dyDescent="0.25">
      <c r="A270" t="s">
        <v>1129</v>
      </c>
      <c r="B270" t="str">
        <f t="shared" si="35"/>
        <v>....</v>
      </c>
      <c r="C270" t="str">
        <f t="shared" si="34"/>
        <v>Bertambah</v>
      </c>
      <c r="D270" t="str">
        <f t="shared" si="36"/>
        <v>1.3.3.01.01.33.007</v>
      </c>
      <c r="E270" s="12" t="s">
        <v>876</v>
      </c>
      <c r="F270" s="17">
        <v>1</v>
      </c>
      <c r="G270" s="17">
        <v>3</v>
      </c>
      <c r="H270" s="17">
        <v>3</v>
      </c>
      <c r="I270" s="18" t="s">
        <v>10</v>
      </c>
      <c r="J270" s="18" t="s">
        <v>10</v>
      </c>
      <c r="K270" s="17">
        <v>33</v>
      </c>
      <c r="L270" s="18" t="s">
        <v>33</v>
      </c>
      <c r="M270" s="19" t="s">
        <v>23</v>
      </c>
      <c r="N270" s="19" t="str">
        <f t="shared" si="31"/>
        <v>Dst….</v>
      </c>
      <c r="O270" t="b">
        <f t="shared" si="32"/>
        <v>0</v>
      </c>
      <c r="Q270" s="12" t="s">
        <v>876</v>
      </c>
      <c r="R270" s="29"/>
      <c r="S270" s="29"/>
      <c r="T270" s="29"/>
      <c r="U270" s="29"/>
      <c r="V270" s="29"/>
      <c r="W270" s="10"/>
      <c r="X270" t="str">
        <f t="shared" si="33"/>
        <v/>
      </c>
      <c r="Y270" s="10"/>
      <c r="Z270" s="10"/>
    </row>
    <row r="271" spans="1:26" ht="26.25" customHeight="1" x14ac:dyDescent="0.25">
      <c r="A271" t="s">
        <v>1273</v>
      </c>
      <c r="B271" t="str">
        <f t="shared" si="35"/>
        <v>3.11.1.16. *</v>
      </c>
      <c r="C271" t="str">
        <f t="shared" si="34"/>
        <v>Berubah</v>
      </c>
      <c r="D271" t="str">
        <f t="shared" si="36"/>
        <v>1.3.3.01.01.34.</v>
      </c>
      <c r="E271" s="12" t="s">
        <v>877</v>
      </c>
      <c r="F271" s="4">
        <v>1</v>
      </c>
      <c r="G271" s="4">
        <v>3</v>
      </c>
      <c r="H271" s="4">
        <v>3</v>
      </c>
      <c r="I271" s="5" t="s">
        <v>10</v>
      </c>
      <c r="J271" s="5" t="s">
        <v>10</v>
      </c>
      <c r="K271" s="4">
        <v>34</v>
      </c>
      <c r="L271" s="5"/>
      <c r="M271" s="6" t="s">
        <v>251</v>
      </c>
      <c r="N271" s="6" t="str">
        <f t="shared" si="31"/>
        <v>BANGUNAN GEDUNG PABRIK</v>
      </c>
      <c r="O271" t="b">
        <f t="shared" si="32"/>
        <v>1</v>
      </c>
      <c r="Q271" s="12" t="s">
        <v>877</v>
      </c>
      <c r="R271" s="27">
        <v>3</v>
      </c>
      <c r="S271" s="28">
        <v>11</v>
      </c>
      <c r="T271" s="28">
        <v>1</v>
      </c>
      <c r="U271" s="28">
        <v>16</v>
      </c>
      <c r="V271" s="28" t="s">
        <v>470</v>
      </c>
      <c r="W271" s="11" t="s">
        <v>475</v>
      </c>
      <c r="X271" t="str">
        <f t="shared" si="33"/>
        <v>Bangunan Gedung Pabrik</v>
      </c>
      <c r="Y271" s="13" t="s">
        <v>413</v>
      </c>
      <c r="Z271" s="13">
        <v>97</v>
      </c>
    </row>
    <row r="272" spans="1:26" ht="26.25" customHeight="1" x14ac:dyDescent="0.25">
      <c r="A272" t="s">
        <v>1274</v>
      </c>
      <c r="B272" t="str">
        <f t="shared" si="35"/>
        <v>3.11.1.16.1</v>
      </c>
      <c r="C272" t="str">
        <f t="shared" si="34"/>
        <v>Berubah</v>
      </c>
      <c r="D272" t="str">
        <f t="shared" si="36"/>
        <v>1.3.3.01.01.34.001</v>
      </c>
      <c r="E272" s="12" t="s">
        <v>878</v>
      </c>
      <c r="F272" s="4">
        <v>1</v>
      </c>
      <c r="G272" s="4">
        <v>3</v>
      </c>
      <c r="H272" s="4">
        <v>3</v>
      </c>
      <c r="I272" s="5" t="s">
        <v>10</v>
      </c>
      <c r="J272" s="5" t="s">
        <v>10</v>
      </c>
      <c r="K272" s="4">
        <v>34</v>
      </c>
      <c r="L272" s="5" t="s">
        <v>14</v>
      </c>
      <c r="M272" s="6" t="s">
        <v>252</v>
      </c>
      <c r="N272" s="6" t="str">
        <f t="shared" si="31"/>
        <v>Bangunan Gedung Pabrik Permanen</v>
      </c>
      <c r="O272" t="b">
        <f t="shared" si="32"/>
        <v>1</v>
      </c>
      <c r="Q272" s="12" t="s">
        <v>878</v>
      </c>
      <c r="R272" s="27">
        <v>3</v>
      </c>
      <c r="S272" s="28">
        <v>11</v>
      </c>
      <c r="T272" s="28">
        <v>1</v>
      </c>
      <c r="U272" s="28">
        <v>16</v>
      </c>
      <c r="V272" s="28">
        <v>1</v>
      </c>
      <c r="W272" s="11" t="s">
        <v>252</v>
      </c>
      <c r="X272" t="str">
        <f t="shared" si="33"/>
        <v>Bangunan Gedung Pabrik Permanen</v>
      </c>
      <c r="Y272" s="13" t="s">
        <v>413</v>
      </c>
      <c r="Z272" s="13">
        <v>98</v>
      </c>
    </row>
    <row r="273" spans="1:26" ht="26.25" customHeight="1" x14ac:dyDescent="0.25">
      <c r="A273" t="s">
        <v>1275</v>
      </c>
      <c r="B273" t="str">
        <f t="shared" si="35"/>
        <v>3.11.1.16.2</v>
      </c>
      <c r="C273" t="str">
        <f t="shared" si="34"/>
        <v>Berubah</v>
      </c>
      <c r="D273" t="str">
        <f t="shared" si="36"/>
        <v>1.3.3.01.01.34.002</v>
      </c>
      <c r="E273" s="12" t="s">
        <v>879</v>
      </c>
      <c r="F273" s="4">
        <v>1</v>
      </c>
      <c r="G273" s="4">
        <v>3</v>
      </c>
      <c r="H273" s="4">
        <v>3</v>
      </c>
      <c r="I273" s="5" t="s">
        <v>10</v>
      </c>
      <c r="J273" s="5" t="s">
        <v>10</v>
      </c>
      <c r="K273" s="4">
        <v>34</v>
      </c>
      <c r="L273" s="5" t="s">
        <v>16</v>
      </c>
      <c r="M273" s="6" t="s">
        <v>253</v>
      </c>
      <c r="N273" s="6" t="str">
        <f t="shared" si="31"/>
        <v>Bangunan Gedung Pabrik Semi Permanen</v>
      </c>
      <c r="O273" t="b">
        <f t="shared" si="32"/>
        <v>1</v>
      </c>
      <c r="Q273" s="12" t="s">
        <v>879</v>
      </c>
      <c r="R273" s="27">
        <v>3</v>
      </c>
      <c r="S273" s="28">
        <v>11</v>
      </c>
      <c r="T273" s="28">
        <v>1</v>
      </c>
      <c r="U273" s="28">
        <v>16</v>
      </c>
      <c r="V273" s="28">
        <v>2</v>
      </c>
      <c r="W273" s="11" t="s">
        <v>253</v>
      </c>
      <c r="X273" t="str">
        <f t="shared" si="33"/>
        <v>Bangunan Gedung Pabrik Semi Permanen</v>
      </c>
      <c r="Y273" s="13" t="s">
        <v>413</v>
      </c>
      <c r="Z273" s="13">
        <v>99</v>
      </c>
    </row>
    <row r="274" spans="1:26" ht="26.25" customHeight="1" x14ac:dyDescent="0.25">
      <c r="A274" t="s">
        <v>1276</v>
      </c>
      <c r="B274" t="str">
        <f t="shared" si="35"/>
        <v>3.11.1.16.3</v>
      </c>
      <c r="C274" t="str">
        <f t="shared" si="34"/>
        <v>Berubah</v>
      </c>
      <c r="D274" t="str">
        <f t="shared" si="36"/>
        <v>1.3.3.01.01.34.003</v>
      </c>
      <c r="E274" s="12" t="s">
        <v>880</v>
      </c>
      <c r="F274" s="4">
        <v>1</v>
      </c>
      <c r="G274" s="4">
        <v>3</v>
      </c>
      <c r="H274" s="4">
        <v>3</v>
      </c>
      <c r="I274" s="5" t="s">
        <v>10</v>
      </c>
      <c r="J274" s="5" t="s">
        <v>10</v>
      </c>
      <c r="K274" s="4">
        <v>34</v>
      </c>
      <c r="L274" s="5" t="s">
        <v>18</v>
      </c>
      <c r="M274" s="6" t="s">
        <v>254</v>
      </c>
      <c r="N274" s="6" t="str">
        <f t="shared" si="31"/>
        <v>Bangunan Gedung Pabrik Darurat</v>
      </c>
      <c r="O274" t="b">
        <f t="shared" ref="O274:O305" si="37">M274=W274</f>
        <v>1</v>
      </c>
      <c r="Q274" s="12" t="s">
        <v>880</v>
      </c>
      <c r="R274" s="27">
        <v>3</v>
      </c>
      <c r="S274" s="28">
        <v>11</v>
      </c>
      <c r="T274" s="28">
        <v>1</v>
      </c>
      <c r="U274" s="28">
        <v>16</v>
      </c>
      <c r="V274" s="28">
        <v>3</v>
      </c>
      <c r="W274" s="11" t="s">
        <v>254</v>
      </c>
      <c r="X274" t="str">
        <f t="shared" si="33"/>
        <v>Bangunan Gedung Pabrik Darurat</v>
      </c>
      <c r="Y274" s="13" t="s">
        <v>413</v>
      </c>
      <c r="Z274" s="13">
        <v>100</v>
      </c>
    </row>
    <row r="275" spans="1:26" ht="26.25" customHeight="1" x14ac:dyDescent="0.25">
      <c r="A275" t="s">
        <v>1277</v>
      </c>
      <c r="B275" t="str">
        <f t="shared" si="35"/>
        <v>3.11.1.16.4</v>
      </c>
      <c r="C275" t="str">
        <f t="shared" si="34"/>
        <v>Berubah</v>
      </c>
      <c r="D275" t="str">
        <f t="shared" si="36"/>
        <v>1.3.3.01.01.34.004</v>
      </c>
      <c r="E275" s="12" t="s">
        <v>881</v>
      </c>
      <c r="F275" s="4">
        <v>1</v>
      </c>
      <c r="G275" s="4">
        <v>3</v>
      </c>
      <c r="H275" s="4">
        <v>3</v>
      </c>
      <c r="I275" s="5" t="s">
        <v>10</v>
      </c>
      <c r="J275" s="5" t="s">
        <v>10</v>
      </c>
      <c r="K275" s="4">
        <v>34</v>
      </c>
      <c r="L275" s="5" t="s">
        <v>20</v>
      </c>
      <c r="M275" s="6" t="s">
        <v>23</v>
      </c>
      <c r="N275" s="6" t="str">
        <f t="shared" si="31"/>
        <v>Dst….</v>
      </c>
      <c r="O275" t="b">
        <f t="shared" si="37"/>
        <v>0</v>
      </c>
      <c r="Q275" s="12" t="s">
        <v>881</v>
      </c>
      <c r="R275" s="27">
        <v>3</v>
      </c>
      <c r="S275" s="28">
        <v>11</v>
      </c>
      <c r="T275" s="28">
        <v>1</v>
      </c>
      <c r="U275" s="28">
        <v>16</v>
      </c>
      <c r="V275" s="28">
        <v>4</v>
      </c>
      <c r="W275" s="11" t="s">
        <v>415</v>
      </c>
      <c r="X275" t="str">
        <f t="shared" si="33"/>
        <v>Lain-lain</v>
      </c>
      <c r="Y275" s="13" t="s">
        <v>413</v>
      </c>
      <c r="Z275" s="13">
        <v>101</v>
      </c>
    </row>
    <row r="276" spans="1:26" ht="26.25" customHeight="1" x14ac:dyDescent="0.25">
      <c r="A276" t="s">
        <v>1129</v>
      </c>
      <c r="B276" t="str">
        <f t="shared" si="35"/>
        <v>....</v>
      </c>
      <c r="C276" t="str">
        <f t="shared" si="34"/>
        <v>Bertambah</v>
      </c>
      <c r="D276" t="str">
        <f t="shared" si="36"/>
        <v>......</v>
      </c>
      <c r="E276" s="12" t="s">
        <v>882</v>
      </c>
      <c r="F276" s="4"/>
      <c r="G276" s="4"/>
      <c r="H276" s="4"/>
      <c r="I276" s="5"/>
      <c r="J276" s="5"/>
      <c r="K276" s="4"/>
      <c r="L276" s="5"/>
      <c r="M276" s="6"/>
      <c r="N276" s="6" t="str">
        <f t="shared" si="31"/>
        <v/>
      </c>
      <c r="O276" t="b">
        <f t="shared" si="37"/>
        <v>1</v>
      </c>
      <c r="Q276" s="12" t="s">
        <v>882</v>
      </c>
      <c r="R276" s="29"/>
      <c r="S276" s="29"/>
      <c r="T276" s="29"/>
      <c r="U276" s="29"/>
      <c r="V276" s="29"/>
      <c r="W276" s="10"/>
      <c r="X276" t="str">
        <f t="shared" si="33"/>
        <v/>
      </c>
      <c r="Y276" s="10"/>
      <c r="Z276" s="10"/>
    </row>
    <row r="277" spans="1:26" ht="26.25" customHeight="1" x14ac:dyDescent="0.25">
      <c r="A277" t="s">
        <v>1278</v>
      </c>
      <c r="B277" t="str">
        <f t="shared" si="35"/>
        <v>3.11.1.17. *</v>
      </c>
      <c r="C277" t="str">
        <f t="shared" si="34"/>
        <v>Berubah</v>
      </c>
      <c r="D277" t="str">
        <f t="shared" si="36"/>
        <v>1.3.3.01.01.35.</v>
      </c>
      <c r="E277" s="12" t="s">
        <v>883</v>
      </c>
      <c r="F277" s="4">
        <v>1</v>
      </c>
      <c r="G277" s="4">
        <v>3</v>
      </c>
      <c r="H277" s="4">
        <v>3</v>
      </c>
      <c r="I277" s="5" t="s">
        <v>10</v>
      </c>
      <c r="J277" s="5" t="s">
        <v>10</v>
      </c>
      <c r="K277" s="4">
        <v>35</v>
      </c>
      <c r="L277" s="5"/>
      <c r="M277" s="6" t="s">
        <v>255</v>
      </c>
      <c r="N277" s="6" t="str">
        <f t="shared" si="31"/>
        <v>BANGUNAN STASIUN BUS</v>
      </c>
      <c r="O277" t="b">
        <f t="shared" si="37"/>
        <v>1</v>
      </c>
      <c r="Q277" s="12" t="s">
        <v>883</v>
      </c>
      <c r="R277" s="27">
        <v>3</v>
      </c>
      <c r="S277" s="28">
        <v>11</v>
      </c>
      <c r="T277" s="28">
        <v>1</v>
      </c>
      <c r="U277" s="28">
        <v>17</v>
      </c>
      <c r="V277" s="28" t="s">
        <v>470</v>
      </c>
      <c r="W277" s="11" t="s">
        <v>476</v>
      </c>
      <c r="X277" t="str">
        <f t="shared" si="33"/>
        <v>Bangunan Stasiun Bus</v>
      </c>
      <c r="Y277" s="13" t="s">
        <v>413</v>
      </c>
      <c r="Z277" s="13">
        <v>102</v>
      </c>
    </row>
    <row r="278" spans="1:26" ht="26.25" customHeight="1" x14ac:dyDescent="0.25">
      <c r="A278" t="s">
        <v>1279</v>
      </c>
      <c r="B278" t="str">
        <f t="shared" si="35"/>
        <v>3.11.1.17.1</v>
      </c>
      <c r="C278" t="str">
        <f t="shared" si="34"/>
        <v>Berubah</v>
      </c>
      <c r="D278" t="str">
        <f t="shared" si="36"/>
        <v>1.3.3.01.01.35.001</v>
      </c>
      <c r="E278" s="12" t="s">
        <v>884</v>
      </c>
      <c r="F278" s="4">
        <v>1</v>
      </c>
      <c r="G278" s="4">
        <v>3</v>
      </c>
      <c r="H278" s="4">
        <v>3</v>
      </c>
      <c r="I278" s="5" t="s">
        <v>10</v>
      </c>
      <c r="J278" s="5" t="s">
        <v>10</v>
      </c>
      <c r="K278" s="4">
        <v>35</v>
      </c>
      <c r="L278" s="5" t="s">
        <v>14</v>
      </c>
      <c r="M278" s="6" t="s">
        <v>256</v>
      </c>
      <c r="N278" s="6" t="str">
        <f t="shared" si="31"/>
        <v>Bangunan Stasiun Permanen</v>
      </c>
      <c r="O278" t="b">
        <f t="shared" si="37"/>
        <v>0</v>
      </c>
      <c r="Q278" s="12" t="s">
        <v>884</v>
      </c>
      <c r="R278" s="27">
        <v>3</v>
      </c>
      <c r="S278" s="28">
        <v>11</v>
      </c>
      <c r="T278" s="28">
        <v>1</v>
      </c>
      <c r="U278" s="28">
        <v>17</v>
      </c>
      <c r="V278" s="28">
        <v>1</v>
      </c>
      <c r="W278" s="11" t="s">
        <v>477</v>
      </c>
      <c r="X278" t="str">
        <f t="shared" si="33"/>
        <v>Bangunan Stasiun Bus Permanen</v>
      </c>
      <c r="Y278" s="13" t="s">
        <v>413</v>
      </c>
      <c r="Z278" s="13">
        <v>103</v>
      </c>
    </row>
    <row r="279" spans="1:26" ht="26.25" customHeight="1" x14ac:dyDescent="0.25">
      <c r="A279" t="s">
        <v>1280</v>
      </c>
      <c r="B279" t="str">
        <f t="shared" si="35"/>
        <v>3.11.1.17.2</v>
      </c>
      <c r="C279" t="str">
        <f t="shared" si="34"/>
        <v>Berubah</v>
      </c>
      <c r="D279" t="str">
        <f t="shared" si="36"/>
        <v>1.3.3.01.01.35.002</v>
      </c>
      <c r="E279" s="12" t="s">
        <v>885</v>
      </c>
      <c r="F279" s="4">
        <v>1</v>
      </c>
      <c r="G279" s="4">
        <v>3</v>
      </c>
      <c r="H279" s="4">
        <v>3</v>
      </c>
      <c r="I279" s="5" t="s">
        <v>10</v>
      </c>
      <c r="J279" s="5" t="s">
        <v>10</v>
      </c>
      <c r="K279" s="4">
        <v>35</v>
      </c>
      <c r="L279" s="5" t="s">
        <v>16</v>
      </c>
      <c r="M279" s="6" t="s">
        <v>257</v>
      </c>
      <c r="N279" s="6" t="str">
        <f t="shared" si="31"/>
        <v>Bangunan Stasiun Semi Permanen</v>
      </c>
      <c r="O279" t="b">
        <f t="shared" si="37"/>
        <v>0</v>
      </c>
      <c r="Q279" s="12" t="s">
        <v>885</v>
      </c>
      <c r="R279" s="27">
        <v>3</v>
      </c>
      <c r="S279" s="28">
        <v>11</v>
      </c>
      <c r="T279" s="28">
        <v>1</v>
      </c>
      <c r="U279" s="28">
        <v>17</v>
      </c>
      <c r="V279" s="28">
        <v>2</v>
      </c>
      <c r="W279" s="11" t="s">
        <v>478</v>
      </c>
      <c r="X279" t="str">
        <f t="shared" si="33"/>
        <v>Bangunan Stasiun Bus Semi Permanen</v>
      </c>
      <c r="Y279" s="13" t="s">
        <v>413</v>
      </c>
      <c r="Z279" s="13">
        <v>104</v>
      </c>
    </row>
    <row r="280" spans="1:26" ht="26.25" customHeight="1" x14ac:dyDescent="0.25">
      <c r="A280" t="s">
        <v>1281</v>
      </c>
      <c r="B280" t="str">
        <f t="shared" si="35"/>
        <v>3.11.1.17.3</v>
      </c>
      <c r="C280" t="str">
        <f t="shared" si="34"/>
        <v>Berubah</v>
      </c>
      <c r="D280" t="str">
        <f t="shared" si="36"/>
        <v>1.3.3.01.01.35.003</v>
      </c>
      <c r="E280" s="12" t="s">
        <v>886</v>
      </c>
      <c r="F280" s="4">
        <v>1</v>
      </c>
      <c r="G280" s="4">
        <v>3</v>
      </c>
      <c r="H280" s="4">
        <v>3</v>
      </c>
      <c r="I280" s="5" t="s">
        <v>10</v>
      </c>
      <c r="J280" s="5" t="s">
        <v>10</v>
      </c>
      <c r="K280" s="4">
        <v>35</v>
      </c>
      <c r="L280" s="5" t="s">
        <v>18</v>
      </c>
      <c r="M280" s="6" t="s">
        <v>258</v>
      </c>
      <c r="N280" s="6" t="str">
        <f t="shared" si="31"/>
        <v>Bangunan Stasiun Darurat</v>
      </c>
      <c r="O280" t="b">
        <f t="shared" si="37"/>
        <v>0</v>
      </c>
      <c r="Q280" s="12" t="s">
        <v>886</v>
      </c>
      <c r="R280" s="27">
        <v>3</v>
      </c>
      <c r="S280" s="28">
        <v>11</v>
      </c>
      <c r="T280" s="28">
        <v>1</v>
      </c>
      <c r="U280" s="28">
        <v>17</v>
      </c>
      <c r="V280" s="28">
        <v>3</v>
      </c>
      <c r="W280" s="11" t="s">
        <v>479</v>
      </c>
      <c r="X280" t="str">
        <f t="shared" si="33"/>
        <v>Bangunan Stasiun Bus Darurat</v>
      </c>
      <c r="Y280" s="13" t="s">
        <v>413</v>
      </c>
      <c r="Z280" s="13">
        <v>105</v>
      </c>
    </row>
    <row r="281" spans="1:26" ht="26.25" customHeight="1" x14ac:dyDescent="0.25">
      <c r="A281" t="s">
        <v>1282</v>
      </c>
      <c r="B281" t="str">
        <f t="shared" si="35"/>
        <v>3.11.1.17.4</v>
      </c>
      <c r="C281" t="str">
        <f t="shared" si="34"/>
        <v>Berubah</v>
      </c>
      <c r="D281" t="str">
        <f t="shared" si="36"/>
        <v>1.3.3.01.01.35.004</v>
      </c>
      <c r="E281" s="12" t="s">
        <v>887</v>
      </c>
      <c r="F281" s="4">
        <v>1</v>
      </c>
      <c r="G281" s="4">
        <v>3</v>
      </c>
      <c r="H281" s="4">
        <v>3</v>
      </c>
      <c r="I281" s="5" t="s">
        <v>10</v>
      </c>
      <c r="J281" s="5" t="s">
        <v>10</v>
      </c>
      <c r="K281" s="4">
        <v>35</v>
      </c>
      <c r="L281" s="5" t="s">
        <v>20</v>
      </c>
      <c r="M281" s="6" t="s">
        <v>23</v>
      </c>
      <c r="N281" s="6" t="str">
        <f t="shared" si="31"/>
        <v>Dst….</v>
      </c>
      <c r="O281" t="b">
        <f t="shared" si="37"/>
        <v>0</v>
      </c>
      <c r="Q281" s="12" t="s">
        <v>887</v>
      </c>
      <c r="R281" s="27">
        <v>3</v>
      </c>
      <c r="S281" s="28">
        <v>11</v>
      </c>
      <c r="T281" s="28">
        <v>1</v>
      </c>
      <c r="U281" s="28">
        <v>17</v>
      </c>
      <c r="V281" s="28">
        <v>4</v>
      </c>
      <c r="W281" s="11" t="s">
        <v>415</v>
      </c>
      <c r="X281" t="str">
        <f t="shared" si="33"/>
        <v>Lain-lain</v>
      </c>
      <c r="Y281" s="13" t="s">
        <v>413</v>
      </c>
      <c r="Z281" s="13">
        <v>106</v>
      </c>
    </row>
    <row r="282" spans="1:26" ht="26.25" customHeight="1" x14ac:dyDescent="0.25">
      <c r="A282" t="s">
        <v>1129</v>
      </c>
      <c r="B282" t="str">
        <f t="shared" si="35"/>
        <v>....</v>
      </c>
      <c r="C282" t="str">
        <f t="shared" si="34"/>
        <v>Bertambah</v>
      </c>
      <c r="D282" t="str">
        <f t="shared" si="36"/>
        <v>1.3.3.01.01.36.</v>
      </c>
      <c r="E282" s="12" t="s">
        <v>888</v>
      </c>
      <c r="F282" s="17">
        <v>1</v>
      </c>
      <c r="G282" s="17">
        <v>3</v>
      </c>
      <c r="H282" s="17">
        <v>3</v>
      </c>
      <c r="I282" s="18" t="s">
        <v>10</v>
      </c>
      <c r="J282" s="18" t="s">
        <v>10</v>
      </c>
      <c r="K282" s="17">
        <v>36</v>
      </c>
      <c r="L282" s="18"/>
      <c r="M282" s="19" t="s">
        <v>259</v>
      </c>
      <c r="N282" s="19" t="str">
        <f t="shared" si="31"/>
        <v>TAMAN</v>
      </c>
      <c r="O282" t="b">
        <f t="shared" si="37"/>
        <v>0</v>
      </c>
      <c r="Q282" s="12" t="s">
        <v>888</v>
      </c>
      <c r="R282" s="29"/>
      <c r="S282" s="29"/>
      <c r="T282" s="29"/>
      <c r="U282" s="29"/>
      <c r="V282" s="29"/>
      <c r="W282" s="10"/>
      <c r="X282" t="str">
        <f t="shared" si="33"/>
        <v/>
      </c>
      <c r="Y282" s="10"/>
      <c r="Z282" s="10"/>
    </row>
    <row r="283" spans="1:26" ht="26.25" customHeight="1" x14ac:dyDescent="0.25">
      <c r="A283" t="s">
        <v>1129</v>
      </c>
      <c r="B283" t="str">
        <f t="shared" si="35"/>
        <v>....</v>
      </c>
      <c r="C283" t="str">
        <f t="shared" si="34"/>
        <v>Bertambah</v>
      </c>
      <c r="D283" t="str">
        <f t="shared" si="36"/>
        <v>1.3.3.01.01.36.001</v>
      </c>
      <c r="E283" s="12" t="s">
        <v>889</v>
      </c>
      <c r="F283" s="17">
        <v>1</v>
      </c>
      <c r="G283" s="17">
        <v>3</v>
      </c>
      <c r="H283" s="17">
        <v>3</v>
      </c>
      <c r="I283" s="18" t="s">
        <v>10</v>
      </c>
      <c r="J283" s="18" t="s">
        <v>10</v>
      </c>
      <c r="K283" s="17">
        <v>36</v>
      </c>
      <c r="L283" s="18" t="s">
        <v>14</v>
      </c>
      <c r="M283" s="19" t="s">
        <v>260</v>
      </c>
      <c r="N283" s="19" t="str">
        <f t="shared" si="31"/>
        <v>Taman Permanen</v>
      </c>
      <c r="O283" t="b">
        <f t="shared" si="37"/>
        <v>0</v>
      </c>
      <c r="Q283" s="12" t="s">
        <v>889</v>
      </c>
      <c r="R283" s="29"/>
      <c r="S283" s="29"/>
      <c r="T283" s="29"/>
      <c r="U283" s="29"/>
      <c r="V283" s="29"/>
      <c r="W283" s="10"/>
      <c r="X283" t="str">
        <f t="shared" si="33"/>
        <v/>
      </c>
      <c r="Y283" s="10"/>
      <c r="Z283" s="10"/>
    </row>
    <row r="284" spans="1:26" ht="26.25" customHeight="1" x14ac:dyDescent="0.25">
      <c r="A284" t="s">
        <v>1129</v>
      </c>
      <c r="B284" t="str">
        <f t="shared" si="35"/>
        <v>....</v>
      </c>
      <c r="C284" t="str">
        <f t="shared" si="34"/>
        <v>Bertambah</v>
      </c>
      <c r="D284" t="str">
        <f t="shared" si="36"/>
        <v>1.3.3.01.01.36.002</v>
      </c>
      <c r="E284" s="12" t="s">
        <v>890</v>
      </c>
      <c r="F284" s="17">
        <v>1</v>
      </c>
      <c r="G284" s="17">
        <v>3</v>
      </c>
      <c r="H284" s="17">
        <v>3</v>
      </c>
      <c r="I284" s="18" t="s">
        <v>10</v>
      </c>
      <c r="J284" s="18" t="s">
        <v>10</v>
      </c>
      <c r="K284" s="17">
        <v>36</v>
      </c>
      <c r="L284" s="18" t="s">
        <v>16</v>
      </c>
      <c r="M284" s="19" t="s">
        <v>261</v>
      </c>
      <c r="N284" s="19" t="str">
        <f t="shared" si="31"/>
        <v>Taman Semi Permanen</v>
      </c>
      <c r="O284" t="b">
        <f t="shared" si="37"/>
        <v>0</v>
      </c>
      <c r="Q284" s="12" t="s">
        <v>890</v>
      </c>
      <c r="R284" s="29"/>
      <c r="S284" s="29"/>
      <c r="T284" s="29"/>
      <c r="U284" s="29"/>
      <c r="V284" s="29"/>
      <c r="W284" s="10"/>
      <c r="X284" t="str">
        <f t="shared" si="33"/>
        <v/>
      </c>
      <c r="Y284" s="10"/>
      <c r="Z284" s="10"/>
    </row>
    <row r="285" spans="1:26" ht="26.25" customHeight="1" x14ac:dyDescent="0.25">
      <c r="A285" t="s">
        <v>1129</v>
      </c>
      <c r="B285" t="str">
        <f t="shared" si="35"/>
        <v>....</v>
      </c>
      <c r="C285" t="str">
        <f t="shared" si="34"/>
        <v>Bertambah</v>
      </c>
      <c r="D285" t="str">
        <f t="shared" si="36"/>
        <v>1.3.3.01.01.36.003</v>
      </c>
      <c r="E285" s="12" t="s">
        <v>891</v>
      </c>
      <c r="F285" s="17">
        <v>1</v>
      </c>
      <c r="G285" s="17">
        <v>3</v>
      </c>
      <c r="H285" s="17">
        <v>3</v>
      </c>
      <c r="I285" s="18" t="s">
        <v>10</v>
      </c>
      <c r="J285" s="18" t="s">
        <v>10</v>
      </c>
      <c r="K285" s="17">
        <v>36</v>
      </c>
      <c r="L285" s="18" t="s">
        <v>18</v>
      </c>
      <c r="M285" s="19" t="s">
        <v>23</v>
      </c>
      <c r="N285" s="19" t="str">
        <f t="shared" si="31"/>
        <v>Dst….</v>
      </c>
      <c r="O285" t="b">
        <f t="shared" si="37"/>
        <v>0</v>
      </c>
      <c r="Q285" s="12" t="s">
        <v>891</v>
      </c>
      <c r="R285" s="29"/>
      <c r="S285" s="29"/>
      <c r="T285" s="29"/>
      <c r="U285" s="29"/>
      <c r="V285" s="29"/>
      <c r="W285" s="10"/>
      <c r="X285" t="str">
        <f t="shared" si="33"/>
        <v/>
      </c>
      <c r="Y285" s="10"/>
      <c r="Z285" s="10"/>
    </row>
    <row r="286" spans="1:26" ht="26.25" customHeight="1" x14ac:dyDescent="0.25">
      <c r="A286" t="s">
        <v>1129</v>
      </c>
      <c r="B286" t="str">
        <f t="shared" si="35"/>
        <v>....</v>
      </c>
      <c r="C286" t="str">
        <f t="shared" si="34"/>
        <v>Bertambah</v>
      </c>
      <c r="D286" t="str">
        <f t="shared" si="36"/>
        <v>1.3.3.01.01.37.</v>
      </c>
      <c r="E286" s="12" t="s">
        <v>892</v>
      </c>
      <c r="F286" s="17">
        <v>1</v>
      </c>
      <c r="G286" s="17">
        <v>3</v>
      </c>
      <c r="H286" s="17">
        <v>3</v>
      </c>
      <c r="I286" s="18" t="s">
        <v>10</v>
      </c>
      <c r="J286" s="18" t="s">
        <v>10</v>
      </c>
      <c r="K286" s="17">
        <v>37</v>
      </c>
      <c r="L286" s="18"/>
      <c r="M286" s="19" t="s">
        <v>227</v>
      </c>
      <c r="N286" s="19" t="str">
        <f t="shared" si="31"/>
        <v>BANGUNAN GEDUNG TEMPAT KERJA LAINNYA</v>
      </c>
      <c r="O286" t="b">
        <f t="shared" si="37"/>
        <v>0</v>
      </c>
      <c r="Q286" s="12" t="s">
        <v>892</v>
      </c>
      <c r="R286" s="29"/>
      <c r="S286" s="29"/>
      <c r="T286" s="29"/>
      <c r="U286" s="29"/>
      <c r="V286" s="29"/>
      <c r="W286" s="10"/>
      <c r="X286" t="str">
        <f t="shared" si="33"/>
        <v/>
      </c>
      <c r="Y286" s="10"/>
      <c r="Z286" s="10"/>
    </row>
    <row r="287" spans="1:26" ht="26.25" customHeight="1" x14ac:dyDescent="0.25">
      <c r="A287" t="s">
        <v>1129</v>
      </c>
      <c r="B287" t="str">
        <f t="shared" si="35"/>
        <v>....</v>
      </c>
      <c r="C287" t="str">
        <f t="shared" si="34"/>
        <v>Bertambah</v>
      </c>
      <c r="D287" t="str">
        <f t="shared" si="36"/>
        <v>1.3.3.01.01.37.001</v>
      </c>
      <c r="E287" s="12" t="s">
        <v>893</v>
      </c>
      <c r="F287" s="17">
        <v>1</v>
      </c>
      <c r="G287" s="17">
        <v>3</v>
      </c>
      <c r="H287" s="17">
        <v>3</v>
      </c>
      <c r="I287" s="18" t="s">
        <v>10</v>
      </c>
      <c r="J287" s="18" t="s">
        <v>10</v>
      </c>
      <c r="K287" s="17">
        <v>37</v>
      </c>
      <c r="L287" s="18" t="s">
        <v>14</v>
      </c>
      <c r="M287" s="19" t="s">
        <v>23</v>
      </c>
      <c r="N287" s="19" t="str">
        <f t="shared" si="31"/>
        <v>Dst….</v>
      </c>
      <c r="O287" t="b">
        <f t="shared" si="37"/>
        <v>0</v>
      </c>
      <c r="Q287" s="12" t="s">
        <v>893</v>
      </c>
      <c r="R287" s="29"/>
      <c r="S287" s="29"/>
      <c r="T287" s="29"/>
      <c r="U287" s="29"/>
      <c r="V287" s="29"/>
      <c r="W287" s="10"/>
      <c r="X287" t="str">
        <f t="shared" si="33"/>
        <v/>
      </c>
      <c r="Y287" s="10"/>
      <c r="Z287" s="10"/>
    </row>
    <row r="288" spans="1:26" ht="26.25" customHeight="1" x14ac:dyDescent="0.25">
      <c r="A288" t="s">
        <v>1283</v>
      </c>
      <c r="B288" t="str">
        <f t="shared" si="35"/>
        <v>3.11.2.*.*</v>
      </c>
      <c r="C288" t="str">
        <f t="shared" si="34"/>
        <v>Berubah</v>
      </c>
      <c r="D288" t="str">
        <f t="shared" si="36"/>
        <v>1.3.3.01.02..</v>
      </c>
      <c r="E288" s="12" t="s">
        <v>894</v>
      </c>
      <c r="F288" s="4">
        <v>1</v>
      </c>
      <c r="G288" s="4">
        <v>3</v>
      </c>
      <c r="H288" s="4">
        <v>3</v>
      </c>
      <c r="I288" s="5" t="s">
        <v>10</v>
      </c>
      <c r="J288" s="5" t="s">
        <v>24</v>
      </c>
      <c r="K288" s="5"/>
      <c r="L288" s="5"/>
      <c r="M288" s="6" t="s">
        <v>262</v>
      </c>
      <c r="N288" s="6" t="str">
        <f t="shared" si="31"/>
        <v>BANGUNAN GEDUNG TEMPAT TINGGAL</v>
      </c>
      <c r="O288" t="b">
        <f t="shared" si="37"/>
        <v>1</v>
      </c>
      <c r="Q288" s="12" t="s">
        <v>894</v>
      </c>
      <c r="R288" s="27">
        <v>3</v>
      </c>
      <c r="S288" s="28">
        <v>11</v>
      </c>
      <c r="T288" s="28">
        <v>2</v>
      </c>
      <c r="U288" s="28" t="s">
        <v>411</v>
      </c>
      <c r="V288" s="28" t="s">
        <v>411</v>
      </c>
      <c r="W288" s="11" t="s">
        <v>262</v>
      </c>
      <c r="X288" t="str">
        <f t="shared" si="33"/>
        <v>BANGUNAN GEDUNG TEMPAT TINGGAL</v>
      </c>
      <c r="Y288" s="13" t="s">
        <v>512</v>
      </c>
      <c r="Z288" s="13">
        <v>1</v>
      </c>
    </row>
    <row r="289" spans="1:26" ht="26.25" customHeight="1" x14ac:dyDescent="0.25">
      <c r="A289" t="s">
        <v>1284</v>
      </c>
      <c r="B289" t="str">
        <f t="shared" si="35"/>
        <v>3.11.2.1.*</v>
      </c>
      <c r="C289" t="str">
        <f t="shared" si="34"/>
        <v>Berubah</v>
      </c>
      <c r="D289" t="str">
        <f t="shared" si="36"/>
        <v>1.3.3.01.02.01.</v>
      </c>
      <c r="E289" s="12" t="s">
        <v>895</v>
      </c>
      <c r="F289" s="4">
        <v>1</v>
      </c>
      <c r="G289" s="4">
        <v>3</v>
      </c>
      <c r="H289" s="4">
        <v>3</v>
      </c>
      <c r="I289" s="5" t="s">
        <v>10</v>
      </c>
      <c r="J289" s="5" t="s">
        <v>24</v>
      </c>
      <c r="K289" s="5" t="s">
        <v>10</v>
      </c>
      <c r="L289" s="5"/>
      <c r="M289" s="6" t="s">
        <v>263</v>
      </c>
      <c r="N289" s="6" t="str">
        <f t="shared" si="31"/>
        <v>RUMAH NEGARA GOLONGAN I</v>
      </c>
      <c r="O289" t="b">
        <f t="shared" si="37"/>
        <v>1</v>
      </c>
      <c r="Q289" s="12" t="s">
        <v>895</v>
      </c>
      <c r="R289" s="27">
        <v>3</v>
      </c>
      <c r="S289" s="28">
        <v>11</v>
      </c>
      <c r="T289" s="28">
        <v>2</v>
      </c>
      <c r="U289" s="28">
        <v>1</v>
      </c>
      <c r="V289" s="28" t="s">
        <v>411</v>
      </c>
      <c r="W289" s="11" t="s">
        <v>513</v>
      </c>
      <c r="X289" t="str">
        <f t="shared" si="33"/>
        <v>Rumah Negara Golongan I</v>
      </c>
      <c r="Y289" s="13" t="s">
        <v>512</v>
      </c>
      <c r="Z289" s="13">
        <v>2</v>
      </c>
    </row>
    <row r="290" spans="1:26" ht="26.25" customHeight="1" x14ac:dyDescent="0.25">
      <c r="A290" t="s">
        <v>1285</v>
      </c>
      <c r="B290" t="str">
        <f t="shared" si="35"/>
        <v>3.11.2.1.1</v>
      </c>
      <c r="C290" t="str">
        <f t="shared" si="34"/>
        <v>Berubah</v>
      </c>
      <c r="D290" t="str">
        <f t="shared" si="36"/>
        <v>1.3.3.01.02.01.001</v>
      </c>
      <c r="E290" s="12" t="s">
        <v>896</v>
      </c>
      <c r="F290" s="4">
        <v>1</v>
      </c>
      <c r="G290" s="4">
        <v>3</v>
      </c>
      <c r="H290" s="4">
        <v>3</v>
      </c>
      <c r="I290" s="5" t="s">
        <v>10</v>
      </c>
      <c r="J290" s="5" t="s">
        <v>24</v>
      </c>
      <c r="K290" s="5" t="s">
        <v>10</v>
      </c>
      <c r="L290" s="5" t="s">
        <v>14</v>
      </c>
      <c r="M290" s="6" t="s">
        <v>264</v>
      </c>
      <c r="N290" s="6" t="str">
        <f t="shared" si="31"/>
        <v>Rumah Negara Golongan I Tipe A Permanen</v>
      </c>
      <c r="O290" t="b">
        <f t="shared" si="37"/>
        <v>0</v>
      </c>
      <c r="Q290" s="12" t="s">
        <v>896</v>
      </c>
      <c r="R290" s="27">
        <v>3</v>
      </c>
      <c r="S290" s="28">
        <v>11</v>
      </c>
      <c r="T290" s="28">
        <v>2</v>
      </c>
      <c r="U290" s="28">
        <v>1</v>
      </c>
      <c r="V290" s="28">
        <v>1</v>
      </c>
      <c r="W290" s="11" t="s">
        <v>514</v>
      </c>
      <c r="X290" t="str">
        <f t="shared" si="33"/>
        <v>Rumah Negara Golongan I Type A Permanen</v>
      </c>
      <c r="Y290" s="13" t="s">
        <v>512</v>
      </c>
      <c r="Z290" s="13">
        <v>3</v>
      </c>
    </row>
    <row r="291" spans="1:26" ht="26.25" customHeight="1" x14ac:dyDescent="0.25">
      <c r="A291" t="s">
        <v>1286</v>
      </c>
      <c r="B291" t="str">
        <f t="shared" si="35"/>
        <v>3.11.2.1.2</v>
      </c>
      <c r="C291" t="str">
        <f t="shared" si="34"/>
        <v>Berubah</v>
      </c>
      <c r="D291" t="str">
        <f t="shared" si="36"/>
        <v>1.3.3.01.02.01.002</v>
      </c>
      <c r="E291" s="12" t="s">
        <v>897</v>
      </c>
      <c r="F291" s="4">
        <v>1</v>
      </c>
      <c r="G291" s="4">
        <v>3</v>
      </c>
      <c r="H291" s="4">
        <v>3</v>
      </c>
      <c r="I291" s="5" t="s">
        <v>10</v>
      </c>
      <c r="J291" s="5" t="s">
        <v>24</v>
      </c>
      <c r="K291" s="5" t="s">
        <v>10</v>
      </c>
      <c r="L291" s="5" t="s">
        <v>16</v>
      </c>
      <c r="M291" s="6" t="s">
        <v>265</v>
      </c>
      <c r="N291" s="6" t="str">
        <f t="shared" si="31"/>
        <v>Rumah Negara Golongan I Tipe A Semi Permanen</v>
      </c>
      <c r="O291" t="b">
        <f t="shared" si="37"/>
        <v>0</v>
      </c>
      <c r="Q291" s="12" t="s">
        <v>897</v>
      </c>
      <c r="R291" s="27">
        <v>3</v>
      </c>
      <c r="S291" s="28">
        <v>11</v>
      </c>
      <c r="T291" s="28">
        <v>2</v>
      </c>
      <c r="U291" s="28">
        <v>1</v>
      </c>
      <c r="V291" s="28">
        <v>2</v>
      </c>
      <c r="W291" s="11" t="s">
        <v>515</v>
      </c>
      <c r="X291" t="str">
        <f t="shared" si="33"/>
        <v>Rumah Negara Golongan I Type A Semi Permanen</v>
      </c>
      <c r="Y291" s="13" t="s">
        <v>512</v>
      </c>
      <c r="Z291" s="13">
        <v>4</v>
      </c>
    </row>
    <row r="292" spans="1:26" ht="26.25" customHeight="1" x14ac:dyDescent="0.25">
      <c r="A292" t="s">
        <v>1287</v>
      </c>
      <c r="B292" t="str">
        <f t="shared" si="35"/>
        <v>3.11.2.1.3</v>
      </c>
      <c r="C292" t="str">
        <f t="shared" si="34"/>
        <v>Berubah</v>
      </c>
      <c r="D292" t="str">
        <f t="shared" si="36"/>
        <v>1.3.3.01.02.01.003</v>
      </c>
      <c r="E292" s="12" t="s">
        <v>898</v>
      </c>
      <c r="F292" s="4">
        <v>1</v>
      </c>
      <c r="G292" s="4">
        <v>3</v>
      </c>
      <c r="H292" s="4">
        <v>3</v>
      </c>
      <c r="I292" s="5" t="s">
        <v>10</v>
      </c>
      <c r="J292" s="5" t="s">
        <v>24</v>
      </c>
      <c r="K292" s="5" t="s">
        <v>10</v>
      </c>
      <c r="L292" s="5" t="s">
        <v>18</v>
      </c>
      <c r="M292" s="6" t="s">
        <v>266</v>
      </c>
      <c r="N292" s="6" t="str">
        <f t="shared" si="31"/>
        <v>Rumah Negara Golongan I Tipe A Darurat</v>
      </c>
      <c r="O292" t="b">
        <f t="shared" si="37"/>
        <v>0</v>
      </c>
      <c r="Q292" s="12" t="s">
        <v>898</v>
      </c>
      <c r="R292" s="27">
        <v>3</v>
      </c>
      <c r="S292" s="28">
        <v>11</v>
      </c>
      <c r="T292" s="28">
        <v>2</v>
      </c>
      <c r="U292" s="28">
        <v>1</v>
      </c>
      <c r="V292" s="28">
        <v>3</v>
      </c>
      <c r="W292" s="11" t="s">
        <v>516</v>
      </c>
      <c r="X292" t="str">
        <f t="shared" si="33"/>
        <v>Rumah Nengara Golongan I Type A Darurat</v>
      </c>
      <c r="Y292" s="13" t="s">
        <v>512</v>
      </c>
      <c r="Z292" s="13">
        <v>5</v>
      </c>
    </row>
    <row r="293" spans="1:26" ht="26.25" customHeight="1" x14ac:dyDescent="0.25">
      <c r="A293" t="s">
        <v>1288</v>
      </c>
      <c r="B293" t="str">
        <f t="shared" si="35"/>
        <v>3.11.2.1.4</v>
      </c>
      <c r="C293" t="str">
        <f t="shared" si="34"/>
        <v>Berubah</v>
      </c>
      <c r="D293" t="str">
        <f t="shared" si="36"/>
        <v>1.3.3.01.02.01.004</v>
      </c>
      <c r="E293" s="12" t="s">
        <v>899</v>
      </c>
      <c r="F293" s="4">
        <v>1</v>
      </c>
      <c r="G293" s="4">
        <v>3</v>
      </c>
      <c r="H293" s="4">
        <v>3</v>
      </c>
      <c r="I293" s="5" t="s">
        <v>10</v>
      </c>
      <c r="J293" s="5" t="s">
        <v>24</v>
      </c>
      <c r="K293" s="5" t="s">
        <v>10</v>
      </c>
      <c r="L293" s="5" t="s">
        <v>20</v>
      </c>
      <c r="M293" s="6" t="s">
        <v>267</v>
      </c>
      <c r="N293" s="6" t="str">
        <f t="shared" si="31"/>
        <v>Rumah Negara Golongan I Tipe B Permanen</v>
      </c>
      <c r="O293" t="b">
        <f t="shared" si="37"/>
        <v>0</v>
      </c>
      <c r="Q293" s="12" t="s">
        <v>899</v>
      </c>
      <c r="R293" s="27">
        <v>3</v>
      </c>
      <c r="S293" s="28">
        <v>11</v>
      </c>
      <c r="T293" s="28">
        <v>2</v>
      </c>
      <c r="U293" s="28">
        <v>1</v>
      </c>
      <c r="V293" s="28">
        <v>4</v>
      </c>
      <c r="W293" s="11" t="s">
        <v>517</v>
      </c>
      <c r="X293" t="str">
        <f t="shared" si="33"/>
        <v>Rumah Negara Golongan I Type B Permanen</v>
      </c>
      <c r="Y293" s="13" t="s">
        <v>512</v>
      </c>
      <c r="Z293" s="13">
        <v>6</v>
      </c>
    </row>
    <row r="294" spans="1:26" ht="26.25" customHeight="1" x14ac:dyDescent="0.25">
      <c r="A294" t="s">
        <v>1289</v>
      </c>
      <c r="B294" t="str">
        <f t="shared" si="35"/>
        <v>3.11.2.1.5</v>
      </c>
      <c r="C294" t="str">
        <f t="shared" si="34"/>
        <v>Berubah</v>
      </c>
      <c r="D294" t="str">
        <f t="shared" si="36"/>
        <v>1.3.3.01.02.01.005</v>
      </c>
      <c r="E294" s="12" t="s">
        <v>900</v>
      </c>
      <c r="F294" s="4">
        <v>1</v>
      </c>
      <c r="G294" s="4">
        <v>3</v>
      </c>
      <c r="H294" s="4">
        <v>3</v>
      </c>
      <c r="I294" s="5" t="s">
        <v>10</v>
      </c>
      <c r="J294" s="5" t="s">
        <v>24</v>
      </c>
      <c r="K294" s="5" t="s">
        <v>10</v>
      </c>
      <c r="L294" s="5" t="s">
        <v>22</v>
      </c>
      <c r="M294" s="6" t="s">
        <v>268</v>
      </c>
      <c r="N294" s="6" t="str">
        <f t="shared" si="31"/>
        <v>Rumah Negara Golongan I Tipe B Semi Permanen</v>
      </c>
      <c r="O294" t="b">
        <f t="shared" si="37"/>
        <v>0</v>
      </c>
      <c r="Q294" s="12" t="s">
        <v>900</v>
      </c>
      <c r="R294" s="27">
        <v>3</v>
      </c>
      <c r="S294" s="28">
        <v>11</v>
      </c>
      <c r="T294" s="28">
        <v>2</v>
      </c>
      <c r="U294" s="28">
        <v>1</v>
      </c>
      <c r="V294" s="28">
        <v>5</v>
      </c>
      <c r="W294" s="11" t="s">
        <v>518</v>
      </c>
      <c r="X294" t="str">
        <f t="shared" si="33"/>
        <v>Rumah Negara Golongan I Type B Semi Permanen</v>
      </c>
      <c r="Y294" s="13" t="s">
        <v>512</v>
      </c>
      <c r="Z294" s="13">
        <v>7</v>
      </c>
    </row>
    <row r="295" spans="1:26" ht="26.25" customHeight="1" x14ac:dyDescent="0.25">
      <c r="A295" t="s">
        <v>1290</v>
      </c>
      <c r="B295" t="str">
        <f t="shared" si="35"/>
        <v>3.11.2.1.6</v>
      </c>
      <c r="C295" t="str">
        <f t="shared" si="34"/>
        <v>Berubah</v>
      </c>
      <c r="D295" t="str">
        <f t="shared" si="36"/>
        <v>1.3.3.01.02.01.006</v>
      </c>
      <c r="E295" s="12" t="s">
        <v>901</v>
      </c>
      <c r="F295" s="4">
        <v>1</v>
      </c>
      <c r="G295" s="4">
        <v>3</v>
      </c>
      <c r="H295" s="4">
        <v>3</v>
      </c>
      <c r="I295" s="5" t="s">
        <v>10</v>
      </c>
      <c r="J295" s="5" t="s">
        <v>24</v>
      </c>
      <c r="K295" s="5" t="s">
        <v>10</v>
      </c>
      <c r="L295" s="5" t="s">
        <v>31</v>
      </c>
      <c r="M295" s="6" t="s">
        <v>269</v>
      </c>
      <c r="N295" s="6" t="str">
        <f t="shared" si="31"/>
        <v>Rumah Negara Golongan I Tipe B Darurat</v>
      </c>
      <c r="O295" t="b">
        <f t="shared" si="37"/>
        <v>0</v>
      </c>
      <c r="Q295" s="12" t="s">
        <v>901</v>
      </c>
      <c r="R295" s="27">
        <v>3</v>
      </c>
      <c r="S295" s="28">
        <v>11</v>
      </c>
      <c r="T295" s="28">
        <v>2</v>
      </c>
      <c r="U295" s="28">
        <v>1</v>
      </c>
      <c r="V295" s="28">
        <v>6</v>
      </c>
      <c r="W295" s="11" t="s">
        <v>519</v>
      </c>
      <c r="X295" t="str">
        <f t="shared" si="33"/>
        <v>Rumah Negara Golongan I Type B Darurat</v>
      </c>
      <c r="Y295" s="13" t="s">
        <v>512</v>
      </c>
      <c r="Z295" s="13">
        <v>8</v>
      </c>
    </row>
    <row r="296" spans="1:26" ht="26.25" customHeight="1" x14ac:dyDescent="0.25">
      <c r="A296" t="s">
        <v>1291</v>
      </c>
      <c r="B296" t="str">
        <f t="shared" si="35"/>
        <v>3.11.2.1.7</v>
      </c>
      <c r="C296" t="str">
        <f t="shared" si="34"/>
        <v>Berubah</v>
      </c>
      <c r="D296" t="str">
        <f t="shared" si="36"/>
        <v>1.3.3.01.02.01.007</v>
      </c>
      <c r="E296" s="12" t="s">
        <v>902</v>
      </c>
      <c r="F296" s="4">
        <v>1</v>
      </c>
      <c r="G296" s="4">
        <v>3</v>
      </c>
      <c r="H296" s="4">
        <v>3</v>
      </c>
      <c r="I296" s="5" t="s">
        <v>10</v>
      </c>
      <c r="J296" s="5" t="s">
        <v>24</v>
      </c>
      <c r="K296" s="5" t="s">
        <v>10</v>
      </c>
      <c r="L296" s="5" t="s">
        <v>33</v>
      </c>
      <c r="M296" s="6" t="s">
        <v>270</v>
      </c>
      <c r="N296" s="6" t="str">
        <f t="shared" si="31"/>
        <v>Rumah Negara Golongan I Tipe C Permanen</v>
      </c>
      <c r="O296" t="b">
        <f t="shared" si="37"/>
        <v>0</v>
      </c>
      <c r="Q296" s="12" t="s">
        <v>902</v>
      </c>
      <c r="R296" s="27">
        <v>3</v>
      </c>
      <c r="S296" s="28">
        <v>11</v>
      </c>
      <c r="T296" s="28">
        <v>2</v>
      </c>
      <c r="U296" s="28">
        <v>1</v>
      </c>
      <c r="V296" s="28">
        <v>7</v>
      </c>
      <c r="W296" s="11" t="s">
        <v>520</v>
      </c>
      <c r="X296" t="str">
        <f t="shared" si="33"/>
        <v>Rumah Negara Golongan I Type C Permanen</v>
      </c>
      <c r="Y296" s="13" t="s">
        <v>512</v>
      </c>
      <c r="Z296" s="13">
        <v>9</v>
      </c>
    </row>
    <row r="297" spans="1:26" ht="26.25" customHeight="1" x14ac:dyDescent="0.25">
      <c r="A297" t="s">
        <v>1292</v>
      </c>
      <c r="B297" t="str">
        <f t="shared" si="35"/>
        <v>3.11.2.1.8</v>
      </c>
      <c r="C297" t="str">
        <f t="shared" si="34"/>
        <v>Berubah</v>
      </c>
      <c r="D297" t="str">
        <f t="shared" si="36"/>
        <v>1.3.3.01.02.01.008</v>
      </c>
      <c r="E297" s="12" t="s">
        <v>903</v>
      </c>
      <c r="F297" s="4">
        <v>1</v>
      </c>
      <c r="G297" s="4">
        <v>3</v>
      </c>
      <c r="H297" s="4">
        <v>3</v>
      </c>
      <c r="I297" s="5" t="s">
        <v>10</v>
      </c>
      <c r="J297" s="5" t="s">
        <v>24</v>
      </c>
      <c r="K297" s="5" t="s">
        <v>10</v>
      </c>
      <c r="L297" s="5" t="s">
        <v>35</v>
      </c>
      <c r="M297" s="6" t="s">
        <v>271</v>
      </c>
      <c r="N297" s="6" t="str">
        <f t="shared" si="31"/>
        <v>Rumah Negara Golongan I Tipe C Semi Permanen</v>
      </c>
      <c r="O297" t="b">
        <f t="shared" si="37"/>
        <v>0</v>
      </c>
      <c r="Q297" s="12" t="s">
        <v>903</v>
      </c>
      <c r="R297" s="27">
        <v>3</v>
      </c>
      <c r="S297" s="28">
        <v>11</v>
      </c>
      <c r="T297" s="28">
        <v>2</v>
      </c>
      <c r="U297" s="28">
        <v>1</v>
      </c>
      <c r="V297" s="28">
        <v>8</v>
      </c>
      <c r="W297" s="11" t="s">
        <v>521</v>
      </c>
      <c r="X297" t="str">
        <f t="shared" si="33"/>
        <v>Rumah Negara Golongan I Type C Semi Permanen</v>
      </c>
      <c r="Y297" s="13" t="s">
        <v>512</v>
      </c>
      <c r="Z297" s="13">
        <v>10</v>
      </c>
    </row>
    <row r="298" spans="1:26" ht="26.25" customHeight="1" x14ac:dyDescent="0.25">
      <c r="A298" t="s">
        <v>1293</v>
      </c>
      <c r="B298" t="str">
        <f t="shared" si="35"/>
        <v>3.11.2.1.9</v>
      </c>
      <c r="C298" t="str">
        <f t="shared" si="34"/>
        <v>Berubah</v>
      </c>
      <c r="D298" t="str">
        <f t="shared" si="36"/>
        <v>1.3.3.01.02.01.009</v>
      </c>
      <c r="E298" s="12" t="s">
        <v>904</v>
      </c>
      <c r="F298" s="4">
        <v>1</v>
      </c>
      <c r="G298" s="4">
        <v>3</v>
      </c>
      <c r="H298" s="4">
        <v>3</v>
      </c>
      <c r="I298" s="5" t="s">
        <v>10</v>
      </c>
      <c r="J298" s="5" t="s">
        <v>24</v>
      </c>
      <c r="K298" s="5" t="s">
        <v>10</v>
      </c>
      <c r="L298" s="5" t="s">
        <v>37</v>
      </c>
      <c r="M298" s="6" t="s">
        <v>272</v>
      </c>
      <c r="N298" s="6" t="str">
        <f t="shared" si="31"/>
        <v>Rumah Negara Golongan I Tipe C Darurat</v>
      </c>
      <c r="O298" t="b">
        <f t="shared" si="37"/>
        <v>0</v>
      </c>
      <c r="Q298" s="12" t="s">
        <v>904</v>
      </c>
      <c r="R298" s="27">
        <v>3</v>
      </c>
      <c r="S298" s="28">
        <v>11</v>
      </c>
      <c r="T298" s="28">
        <v>2</v>
      </c>
      <c r="U298" s="28">
        <v>1</v>
      </c>
      <c r="V298" s="28">
        <v>9</v>
      </c>
      <c r="W298" s="11" t="s">
        <v>522</v>
      </c>
      <c r="X298" t="str">
        <f t="shared" si="33"/>
        <v>Rumah Negara Golongan I Type C Darurat</v>
      </c>
      <c r="Y298" s="13" t="s">
        <v>512</v>
      </c>
      <c r="Z298" s="13">
        <v>11</v>
      </c>
    </row>
    <row r="299" spans="1:26" ht="26.25" customHeight="1" x14ac:dyDescent="0.25">
      <c r="A299" t="s">
        <v>1294</v>
      </c>
      <c r="B299" t="str">
        <f t="shared" si="35"/>
        <v>3.11.2.1.10</v>
      </c>
      <c r="C299" t="str">
        <f t="shared" si="34"/>
        <v>Berubah</v>
      </c>
      <c r="D299" t="str">
        <f t="shared" si="36"/>
        <v>1.3.3.01.02.01.010</v>
      </c>
      <c r="E299" s="12" t="s">
        <v>905</v>
      </c>
      <c r="F299" s="4">
        <v>1</v>
      </c>
      <c r="G299" s="4">
        <v>3</v>
      </c>
      <c r="H299" s="4">
        <v>3</v>
      </c>
      <c r="I299" s="5" t="s">
        <v>10</v>
      </c>
      <c r="J299" s="5" t="s">
        <v>24</v>
      </c>
      <c r="K299" s="5" t="s">
        <v>10</v>
      </c>
      <c r="L299" s="5" t="s">
        <v>39</v>
      </c>
      <c r="M299" s="6" t="s">
        <v>273</v>
      </c>
      <c r="N299" s="6" t="str">
        <f t="shared" si="31"/>
        <v>Rumah Negara Golongan I Tipe D Permanen</v>
      </c>
      <c r="O299" t="b">
        <f t="shared" si="37"/>
        <v>0</v>
      </c>
      <c r="Q299" s="12" t="s">
        <v>905</v>
      </c>
      <c r="R299" s="27">
        <v>3</v>
      </c>
      <c r="S299" s="28">
        <v>11</v>
      </c>
      <c r="T299" s="28">
        <v>2</v>
      </c>
      <c r="U299" s="28">
        <v>1</v>
      </c>
      <c r="V299" s="28">
        <v>10</v>
      </c>
      <c r="W299" s="11" t="s">
        <v>523</v>
      </c>
      <c r="X299" t="str">
        <f t="shared" si="33"/>
        <v>Rumah Negara Golongan I Type D Permanen</v>
      </c>
      <c r="Y299" s="13" t="s">
        <v>512</v>
      </c>
      <c r="Z299" s="13">
        <v>12</v>
      </c>
    </row>
    <row r="300" spans="1:26" ht="26.25" customHeight="1" x14ac:dyDescent="0.25">
      <c r="A300" t="s">
        <v>1295</v>
      </c>
      <c r="B300" t="str">
        <f t="shared" si="35"/>
        <v>3.11.2.1.11</v>
      </c>
      <c r="C300" t="str">
        <f t="shared" si="34"/>
        <v>Berubah</v>
      </c>
      <c r="D300" t="str">
        <f t="shared" si="36"/>
        <v>1.3.3.01.02.01.011</v>
      </c>
      <c r="E300" s="12" t="s">
        <v>906</v>
      </c>
      <c r="F300" s="4">
        <v>1</v>
      </c>
      <c r="G300" s="4">
        <v>3</v>
      </c>
      <c r="H300" s="4">
        <v>3</v>
      </c>
      <c r="I300" s="5" t="s">
        <v>10</v>
      </c>
      <c r="J300" s="5" t="s">
        <v>24</v>
      </c>
      <c r="K300" s="5" t="s">
        <v>10</v>
      </c>
      <c r="L300" s="5" t="s">
        <v>41</v>
      </c>
      <c r="M300" s="6" t="s">
        <v>274</v>
      </c>
      <c r="N300" s="6" t="str">
        <f t="shared" si="31"/>
        <v>Rumah Negara Golongan I Tipe D Semi Permanen</v>
      </c>
      <c r="O300" t="b">
        <f t="shared" si="37"/>
        <v>0</v>
      </c>
      <c r="Q300" s="12" t="s">
        <v>906</v>
      </c>
      <c r="R300" s="27">
        <v>3</v>
      </c>
      <c r="S300" s="28">
        <v>11</v>
      </c>
      <c r="T300" s="28">
        <v>2</v>
      </c>
      <c r="U300" s="28">
        <v>1</v>
      </c>
      <c r="V300" s="28">
        <v>11</v>
      </c>
      <c r="W300" s="11" t="s">
        <v>524</v>
      </c>
      <c r="X300" t="str">
        <f t="shared" si="33"/>
        <v>Rumah Negara Golongan I Type D Semi Permanen</v>
      </c>
      <c r="Y300" s="13" t="s">
        <v>512</v>
      </c>
      <c r="Z300" s="13">
        <v>13</v>
      </c>
    </row>
    <row r="301" spans="1:26" ht="26.25" customHeight="1" x14ac:dyDescent="0.25">
      <c r="A301" t="s">
        <v>1296</v>
      </c>
      <c r="B301" t="str">
        <f t="shared" si="35"/>
        <v>3.11.2.1.12</v>
      </c>
      <c r="C301" t="str">
        <f t="shared" si="34"/>
        <v>Berubah</v>
      </c>
      <c r="D301" t="str">
        <f t="shared" si="36"/>
        <v>1.3.3.01.02.01.012</v>
      </c>
      <c r="E301" s="12" t="s">
        <v>907</v>
      </c>
      <c r="F301" s="4">
        <v>1</v>
      </c>
      <c r="G301" s="4">
        <v>3</v>
      </c>
      <c r="H301" s="4">
        <v>3</v>
      </c>
      <c r="I301" s="5" t="s">
        <v>10</v>
      </c>
      <c r="J301" s="5" t="s">
        <v>24</v>
      </c>
      <c r="K301" s="5" t="s">
        <v>10</v>
      </c>
      <c r="L301" s="5" t="s">
        <v>43</v>
      </c>
      <c r="M301" s="6" t="s">
        <v>275</v>
      </c>
      <c r="N301" s="6" t="str">
        <f t="shared" si="31"/>
        <v>Rumah Negara Golongan I Tipe D Darurat</v>
      </c>
      <c r="O301" t="b">
        <f t="shared" si="37"/>
        <v>0</v>
      </c>
      <c r="Q301" s="12" t="s">
        <v>907</v>
      </c>
      <c r="R301" s="27">
        <v>3</v>
      </c>
      <c r="S301" s="28">
        <v>11</v>
      </c>
      <c r="T301" s="28">
        <v>2</v>
      </c>
      <c r="U301" s="28">
        <v>1</v>
      </c>
      <c r="V301" s="28">
        <v>12</v>
      </c>
      <c r="W301" s="11" t="s">
        <v>525</v>
      </c>
      <c r="X301" t="str">
        <f t="shared" si="33"/>
        <v>Rumah Negara Golongan I Type D Darurat</v>
      </c>
      <c r="Y301" s="13" t="s">
        <v>512</v>
      </c>
      <c r="Z301" s="13">
        <v>14</v>
      </c>
    </row>
    <row r="302" spans="1:26" ht="26.25" customHeight="1" x14ac:dyDescent="0.25">
      <c r="A302" t="s">
        <v>1297</v>
      </c>
      <c r="B302" t="str">
        <f t="shared" si="35"/>
        <v>3.11.2.1.13</v>
      </c>
      <c r="C302" t="str">
        <f t="shared" si="34"/>
        <v>Berubah</v>
      </c>
      <c r="D302" t="str">
        <f t="shared" si="36"/>
        <v>1.3.3.01.02.01.013</v>
      </c>
      <c r="E302" s="12" t="s">
        <v>908</v>
      </c>
      <c r="F302" s="4">
        <v>1</v>
      </c>
      <c r="G302" s="4">
        <v>3</v>
      </c>
      <c r="H302" s="4">
        <v>3</v>
      </c>
      <c r="I302" s="5" t="s">
        <v>10</v>
      </c>
      <c r="J302" s="5" t="s">
        <v>24</v>
      </c>
      <c r="K302" s="5" t="s">
        <v>10</v>
      </c>
      <c r="L302" s="5" t="s">
        <v>45</v>
      </c>
      <c r="M302" s="6" t="s">
        <v>276</v>
      </c>
      <c r="N302" s="6" t="str">
        <f t="shared" si="31"/>
        <v>Rumah Negara Golongan I Tipe E Permanen</v>
      </c>
      <c r="O302" t="b">
        <f t="shared" si="37"/>
        <v>0</v>
      </c>
      <c r="Q302" s="12" t="s">
        <v>908</v>
      </c>
      <c r="R302" s="27">
        <v>3</v>
      </c>
      <c r="S302" s="28">
        <v>11</v>
      </c>
      <c r="T302" s="28">
        <v>2</v>
      </c>
      <c r="U302" s="28">
        <v>1</v>
      </c>
      <c r="V302" s="28">
        <v>13</v>
      </c>
      <c r="W302" s="11" t="s">
        <v>526</v>
      </c>
      <c r="X302" t="str">
        <f t="shared" si="33"/>
        <v>Rumah Negara Golongan I Type E Permanen</v>
      </c>
      <c r="Y302" s="13" t="s">
        <v>512</v>
      </c>
      <c r="Z302" s="13">
        <v>15</v>
      </c>
    </row>
    <row r="303" spans="1:26" ht="26.25" customHeight="1" x14ac:dyDescent="0.25">
      <c r="A303" t="s">
        <v>1298</v>
      </c>
      <c r="B303" t="str">
        <f t="shared" si="35"/>
        <v>3.11.2.1.14</v>
      </c>
      <c r="C303" t="str">
        <f t="shared" si="34"/>
        <v>Berubah</v>
      </c>
      <c r="D303" t="str">
        <f t="shared" si="36"/>
        <v>1.3.3.01.02.01.014</v>
      </c>
      <c r="E303" s="12" t="s">
        <v>909</v>
      </c>
      <c r="F303" s="4">
        <v>1</v>
      </c>
      <c r="G303" s="4">
        <v>3</v>
      </c>
      <c r="H303" s="4">
        <v>3</v>
      </c>
      <c r="I303" s="5" t="s">
        <v>10</v>
      </c>
      <c r="J303" s="5" t="s">
        <v>24</v>
      </c>
      <c r="K303" s="5" t="s">
        <v>10</v>
      </c>
      <c r="L303" s="5" t="s">
        <v>47</v>
      </c>
      <c r="M303" s="6" t="s">
        <v>277</v>
      </c>
      <c r="N303" s="6" t="str">
        <f t="shared" si="31"/>
        <v>Rumah Negara Golongan I Tipe E Semi Permanen</v>
      </c>
      <c r="O303" t="b">
        <f t="shared" si="37"/>
        <v>0</v>
      </c>
      <c r="Q303" s="12" t="s">
        <v>909</v>
      </c>
      <c r="R303" s="27">
        <v>3</v>
      </c>
      <c r="S303" s="28">
        <v>11</v>
      </c>
      <c r="T303" s="28">
        <v>2</v>
      </c>
      <c r="U303" s="28">
        <v>1</v>
      </c>
      <c r="V303" s="28">
        <v>14</v>
      </c>
      <c r="W303" s="11" t="s">
        <v>527</v>
      </c>
      <c r="X303" t="str">
        <f t="shared" si="33"/>
        <v>Rumah Negara Golongan I Type E Semi Permanen</v>
      </c>
      <c r="Y303" s="13" t="s">
        <v>512</v>
      </c>
      <c r="Z303" s="13">
        <v>16</v>
      </c>
    </row>
    <row r="304" spans="1:26" ht="26.25" customHeight="1" x14ac:dyDescent="0.25">
      <c r="A304" t="s">
        <v>1299</v>
      </c>
      <c r="B304" t="str">
        <f t="shared" si="35"/>
        <v>3.11.2.1.15</v>
      </c>
      <c r="C304" t="str">
        <f t="shared" si="34"/>
        <v>Berubah</v>
      </c>
      <c r="D304" t="str">
        <f t="shared" si="36"/>
        <v>1.3.3.01.02.01.015</v>
      </c>
      <c r="E304" s="12" t="s">
        <v>910</v>
      </c>
      <c r="F304" s="4">
        <v>1</v>
      </c>
      <c r="G304" s="4">
        <v>3</v>
      </c>
      <c r="H304" s="4">
        <v>3</v>
      </c>
      <c r="I304" s="5" t="s">
        <v>10</v>
      </c>
      <c r="J304" s="5" t="s">
        <v>24</v>
      </c>
      <c r="K304" s="5" t="s">
        <v>10</v>
      </c>
      <c r="L304" s="5" t="s">
        <v>82</v>
      </c>
      <c r="M304" s="6" t="s">
        <v>278</v>
      </c>
      <c r="N304" s="6" t="str">
        <f t="shared" si="31"/>
        <v>Rumah Negara Golongan I Tipe E Darurat</v>
      </c>
      <c r="O304" t="b">
        <f t="shared" si="37"/>
        <v>0</v>
      </c>
      <c r="Q304" s="12" t="s">
        <v>910</v>
      </c>
      <c r="R304" s="27">
        <v>3</v>
      </c>
      <c r="S304" s="28">
        <v>11</v>
      </c>
      <c r="T304" s="28">
        <v>2</v>
      </c>
      <c r="U304" s="28">
        <v>1</v>
      </c>
      <c r="V304" s="28">
        <v>15</v>
      </c>
      <c r="W304" s="11" t="s">
        <v>528</v>
      </c>
      <c r="X304" t="str">
        <f t="shared" si="33"/>
        <v>Rumah Negara Golongan I Type E Darurat</v>
      </c>
      <c r="Y304" s="13" t="s">
        <v>512</v>
      </c>
      <c r="Z304" s="13">
        <v>17</v>
      </c>
    </row>
    <row r="305" spans="1:26" ht="26.25" customHeight="1" x14ac:dyDescent="0.25">
      <c r="A305" t="s">
        <v>1300</v>
      </c>
      <c r="B305" t="str">
        <f t="shared" si="35"/>
        <v>3.11.2.1.16</v>
      </c>
      <c r="C305" t="str">
        <f t="shared" si="34"/>
        <v>Berubah</v>
      </c>
      <c r="D305" t="str">
        <f t="shared" si="36"/>
        <v>1.3.3.01.02.01.016</v>
      </c>
      <c r="E305" s="12" t="s">
        <v>911</v>
      </c>
      <c r="F305" s="4">
        <v>1</v>
      </c>
      <c r="G305" s="4">
        <v>3</v>
      </c>
      <c r="H305" s="4">
        <v>3</v>
      </c>
      <c r="I305" s="5" t="s">
        <v>10</v>
      </c>
      <c r="J305" s="5" t="s">
        <v>24</v>
      </c>
      <c r="K305" s="5" t="s">
        <v>10</v>
      </c>
      <c r="L305" s="5" t="s">
        <v>84</v>
      </c>
      <c r="M305" s="6" t="s">
        <v>23</v>
      </c>
      <c r="N305" s="6" t="str">
        <f t="shared" si="31"/>
        <v>Dst….</v>
      </c>
      <c r="O305" t="b">
        <f t="shared" si="37"/>
        <v>0</v>
      </c>
      <c r="Q305" s="12" t="s">
        <v>911</v>
      </c>
      <c r="R305" s="27">
        <v>3</v>
      </c>
      <c r="S305" s="28">
        <v>11</v>
      </c>
      <c r="T305" s="28">
        <v>2</v>
      </c>
      <c r="U305" s="28">
        <v>1</v>
      </c>
      <c r="V305" s="28">
        <v>16</v>
      </c>
      <c r="W305" s="11" t="s">
        <v>415</v>
      </c>
      <c r="X305" t="str">
        <f t="shared" si="33"/>
        <v>Lain-lain</v>
      </c>
      <c r="Y305" s="13" t="s">
        <v>512</v>
      </c>
      <c r="Z305" s="13">
        <v>18</v>
      </c>
    </row>
    <row r="306" spans="1:26" ht="26.25" customHeight="1" x14ac:dyDescent="0.25">
      <c r="A306" t="s">
        <v>1129</v>
      </c>
      <c r="B306" t="str">
        <f t="shared" si="35"/>
        <v>....</v>
      </c>
      <c r="C306" t="str">
        <f t="shared" si="34"/>
        <v>Bertambah</v>
      </c>
      <c r="D306" t="str">
        <f t="shared" si="36"/>
        <v>......</v>
      </c>
      <c r="E306" s="12" t="s">
        <v>912</v>
      </c>
      <c r="F306" s="4"/>
      <c r="G306" s="4"/>
      <c r="H306" s="4"/>
      <c r="I306" s="5"/>
      <c r="J306" s="5"/>
      <c r="K306" s="5"/>
      <c r="L306" s="5"/>
      <c r="M306" s="6"/>
      <c r="N306" s="6" t="str">
        <f t="shared" ref="N306:N369" si="38">TRIM(M306)</f>
        <v/>
      </c>
      <c r="O306" t="b">
        <f t="shared" ref="O306:O337" si="39">M306=W306</f>
        <v>1</v>
      </c>
      <c r="Q306" s="12" t="s">
        <v>912</v>
      </c>
      <c r="R306" s="27"/>
      <c r="S306" s="28"/>
      <c r="T306" s="28"/>
      <c r="U306" s="28"/>
      <c r="V306" s="28"/>
      <c r="W306" s="11"/>
      <c r="X306" t="str">
        <f t="shared" ref="X306:X369" si="40">TRIM(W306)</f>
        <v/>
      </c>
      <c r="Y306" s="13"/>
      <c r="Z306" s="13"/>
    </row>
    <row r="307" spans="1:26" ht="26.25" customHeight="1" x14ac:dyDescent="0.25">
      <c r="A307" t="s">
        <v>1301</v>
      </c>
      <c r="B307" t="str">
        <f t="shared" si="35"/>
        <v>3.11.2.2.*</v>
      </c>
      <c r="C307" t="str">
        <f t="shared" si="34"/>
        <v>Berubah</v>
      </c>
      <c r="D307" t="str">
        <f t="shared" si="36"/>
        <v>1.3.3.01.02.02.</v>
      </c>
      <c r="E307" s="12" t="s">
        <v>913</v>
      </c>
      <c r="F307" s="4">
        <v>1</v>
      </c>
      <c r="G307" s="4">
        <v>3</v>
      </c>
      <c r="H307" s="4">
        <v>3</v>
      </c>
      <c r="I307" s="5" t="s">
        <v>10</v>
      </c>
      <c r="J307" s="5" t="s">
        <v>24</v>
      </c>
      <c r="K307" s="5" t="s">
        <v>24</v>
      </c>
      <c r="L307" s="5"/>
      <c r="M307" s="6" t="s">
        <v>279</v>
      </c>
      <c r="N307" s="6" t="str">
        <f t="shared" si="38"/>
        <v>RUMAH NEGARA GOLONGAN II</v>
      </c>
      <c r="O307" t="b">
        <f t="shared" si="39"/>
        <v>1</v>
      </c>
      <c r="Q307" s="12" t="s">
        <v>913</v>
      </c>
      <c r="R307" s="27">
        <v>3</v>
      </c>
      <c r="S307" s="28">
        <v>11</v>
      </c>
      <c r="T307" s="28">
        <v>2</v>
      </c>
      <c r="U307" s="28">
        <v>2</v>
      </c>
      <c r="V307" s="28" t="s">
        <v>411</v>
      </c>
      <c r="W307" s="11" t="s">
        <v>529</v>
      </c>
      <c r="X307" t="str">
        <f t="shared" si="40"/>
        <v>Rumah Negara Golongan II</v>
      </c>
      <c r="Y307" s="13" t="s">
        <v>512</v>
      </c>
      <c r="Z307" s="13">
        <v>19</v>
      </c>
    </row>
    <row r="308" spans="1:26" ht="26.25" customHeight="1" x14ac:dyDescent="0.25">
      <c r="A308" t="s">
        <v>1302</v>
      </c>
      <c r="B308" t="str">
        <f t="shared" si="35"/>
        <v>3.11.2.2.1</v>
      </c>
      <c r="C308" t="str">
        <f t="shared" si="34"/>
        <v>Berubah</v>
      </c>
      <c r="D308" t="str">
        <f t="shared" si="36"/>
        <v>1.3.3.01.02.02.001</v>
      </c>
      <c r="E308" s="12" t="s">
        <v>914</v>
      </c>
      <c r="F308" s="4">
        <v>1</v>
      </c>
      <c r="G308" s="4">
        <v>3</v>
      </c>
      <c r="H308" s="4">
        <v>3</v>
      </c>
      <c r="I308" s="5" t="s">
        <v>10</v>
      </c>
      <c r="J308" s="5" t="s">
        <v>24</v>
      </c>
      <c r="K308" s="5" t="s">
        <v>24</v>
      </c>
      <c r="L308" s="5" t="s">
        <v>14</v>
      </c>
      <c r="M308" s="6" t="s">
        <v>280</v>
      </c>
      <c r="N308" s="6" t="str">
        <f t="shared" si="38"/>
        <v>Rumah Negara Golongan II Tipe A Permanen</v>
      </c>
      <c r="O308" t="b">
        <f t="shared" si="39"/>
        <v>0</v>
      </c>
      <c r="Q308" s="12" t="s">
        <v>914</v>
      </c>
      <c r="R308" s="27">
        <v>3</v>
      </c>
      <c r="S308" s="28">
        <v>11</v>
      </c>
      <c r="T308" s="28">
        <v>2</v>
      </c>
      <c r="U308" s="28">
        <v>2</v>
      </c>
      <c r="V308" s="28">
        <v>1</v>
      </c>
      <c r="W308" s="11" t="s">
        <v>530</v>
      </c>
      <c r="X308" t="str">
        <f t="shared" si="40"/>
        <v>Rumah Negara Golongan II Type A Permanen</v>
      </c>
      <c r="Y308" s="13" t="s">
        <v>512</v>
      </c>
      <c r="Z308" s="13">
        <v>20</v>
      </c>
    </row>
    <row r="309" spans="1:26" ht="26.25" customHeight="1" x14ac:dyDescent="0.25">
      <c r="A309" t="s">
        <v>1303</v>
      </c>
      <c r="B309" t="str">
        <f t="shared" si="35"/>
        <v>3.11.2.2.2</v>
      </c>
      <c r="C309" t="str">
        <f t="shared" si="34"/>
        <v>Berubah</v>
      </c>
      <c r="D309" t="str">
        <f t="shared" si="36"/>
        <v>1.3.3.01.02.02.002</v>
      </c>
      <c r="E309" s="12" t="s">
        <v>915</v>
      </c>
      <c r="F309" s="4">
        <v>1</v>
      </c>
      <c r="G309" s="4">
        <v>3</v>
      </c>
      <c r="H309" s="4">
        <v>3</v>
      </c>
      <c r="I309" s="5" t="s">
        <v>10</v>
      </c>
      <c r="J309" s="5" t="s">
        <v>24</v>
      </c>
      <c r="K309" s="5" t="s">
        <v>24</v>
      </c>
      <c r="L309" s="5" t="s">
        <v>16</v>
      </c>
      <c r="M309" s="6" t="s">
        <v>281</v>
      </c>
      <c r="N309" s="6" t="str">
        <f t="shared" si="38"/>
        <v>Rumah Negara Golongan II Tipe A Semi Permanen</v>
      </c>
      <c r="O309" t="b">
        <f t="shared" si="39"/>
        <v>0</v>
      </c>
      <c r="Q309" s="12" t="s">
        <v>915</v>
      </c>
      <c r="R309" s="27">
        <v>3</v>
      </c>
      <c r="S309" s="28">
        <v>11</v>
      </c>
      <c r="T309" s="28">
        <v>2</v>
      </c>
      <c r="U309" s="28">
        <v>2</v>
      </c>
      <c r="V309" s="28">
        <v>2</v>
      </c>
      <c r="W309" s="11" t="s">
        <v>531</v>
      </c>
      <c r="X309" t="str">
        <f t="shared" si="40"/>
        <v>Rumah Negara Golongan II Type Semi Permanen</v>
      </c>
      <c r="Y309" s="13" t="s">
        <v>512</v>
      </c>
      <c r="Z309" s="13">
        <v>21</v>
      </c>
    </row>
    <row r="310" spans="1:26" ht="26.25" customHeight="1" x14ac:dyDescent="0.25">
      <c r="A310" t="s">
        <v>1304</v>
      </c>
      <c r="B310" t="str">
        <f t="shared" si="35"/>
        <v>3.11.2.2.3</v>
      </c>
      <c r="C310" t="str">
        <f t="shared" si="34"/>
        <v>Berubah</v>
      </c>
      <c r="D310" t="str">
        <f t="shared" si="36"/>
        <v>1.3.3.01.02.02.003</v>
      </c>
      <c r="E310" s="12" t="s">
        <v>916</v>
      </c>
      <c r="F310" s="4">
        <v>1</v>
      </c>
      <c r="G310" s="4">
        <v>3</v>
      </c>
      <c r="H310" s="4">
        <v>3</v>
      </c>
      <c r="I310" s="5" t="s">
        <v>10</v>
      </c>
      <c r="J310" s="5" t="s">
        <v>24</v>
      </c>
      <c r="K310" s="5" t="s">
        <v>24</v>
      </c>
      <c r="L310" s="5" t="s">
        <v>18</v>
      </c>
      <c r="M310" s="6" t="s">
        <v>282</v>
      </c>
      <c r="N310" s="6" t="str">
        <f t="shared" si="38"/>
        <v>Rumah Negara Golongan II Tipe A Darurat</v>
      </c>
      <c r="O310" t="b">
        <f t="shared" si="39"/>
        <v>0</v>
      </c>
      <c r="Q310" s="12" t="s">
        <v>916</v>
      </c>
      <c r="R310" s="27">
        <v>3</v>
      </c>
      <c r="S310" s="28">
        <v>11</v>
      </c>
      <c r="T310" s="28">
        <v>2</v>
      </c>
      <c r="U310" s="28">
        <v>2</v>
      </c>
      <c r="V310" s="28">
        <v>3</v>
      </c>
      <c r="W310" s="11" t="s">
        <v>532</v>
      </c>
      <c r="X310" t="str">
        <f t="shared" si="40"/>
        <v>Rumah Negara Golongan II Type A Darurat</v>
      </c>
      <c r="Y310" s="13" t="s">
        <v>512</v>
      </c>
      <c r="Z310" s="13">
        <v>22</v>
      </c>
    </row>
    <row r="311" spans="1:26" ht="26.25" customHeight="1" x14ac:dyDescent="0.25">
      <c r="A311" t="s">
        <v>1305</v>
      </c>
      <c r="B311" t="str">
        <f t="shared" si="35"/>
        <v>3.11.2.2.4</v>
      </c>
      <c r="C311" t="str">
        <f t="shared" si="34"/>
        <v>Berubah</v>
      </c>
      <c r="D311" t="str">
        <f t="shared" si="36"/>
        <v>1.3.3.01.02.02.004</v>
      </c>
      <c r="E311" s="12" t="s">
        <v>917</v>
      </c>
      <c r="F311" s="4">
        <v>1</v>
      </c>
      <c r="G311" s="4">
        <v>3</v>
      </c>
      <c r="H311" s="4">
        <v>3</v>
      </c>
      <c r="I311" s="5" t="s">
        <v>10</v>
      </c>
      <c r="J311" s="5" t="s">
        <v>24</v>
      </c>
      <c r="K311" s="5" t="s">
        <v>24</v>
      </c>
      <c r="L311" s="5" t="s">
        <v>20</v>
      </c>
      <c r="M311" s="6" t="s">
        <v>283</v>
      </c>
      <c r="N311" s="6" t="str">
        <f t="shared" si="38"/>
        <v>Rumah Negara Golongan II Tipe B Permanen</v>
      </c>
      <c r="O311" t="b">
        <f t="shared" si="39"/>
        <v>0</v>
      </c>
      <c r="Q311" s="12" t="s">
        <v>917</v>
      </c>
      <c r="R311" s="27">
        <v>3</v>
      </c>
      <c r="S311" s="28">
        <v>11</v>
      </c>
      <c r="T311" s="28">
        <v>2</v>
      </c>
      <c r="U311" s="28">
        <v>2</v>
      </c>
      <c r="V311" s="28">
        <v>4</v>
      </c>
      <c r="W311" s="11" t="s">
        <v>533</v>
      </c>
      <c r="X311" t="str">
        <f t="shared" si="40"/>
        <v>Rumah Negara Golongan II Type B Permanen</v>
      </c>
      <c r="Y311" s="13" t="s">
        <v>512</v>
      </c>
      <c r="Z311" s="13">
        <v>23</v>
      </c>
    </row>
    <row r="312" spans="1:26" ht="26.25" customHeight="1" x14ac:dyDescent="0.25">
      <c r="A312" t="s">
        <v>1306</v>
      </c>
      <c r="B312" t="str">
        <f t="shared" si="35"/>
        <v>3.11.2.2.5</v>
      </c>
      <c r="C312" t="str">
        <f t="shared" si="34"/>
        <v>Berubah</v>
      </c>
      <c r="D312" t="str">
        <f t="shared" si="36"/>
        <v>1.3.3.01.02.02.005</v>
      </c>
      <c r="E312" s="12" t="s">
        <v>918</v>
      </c>
      <c r="F312" s="4">
        <v>1</v>
      </c>
      <c r="G312" s="4">
        <v>3</v>
      </c>
      <c r="H312" s="4">
        <v>3</v>
      </c>
      <c r="I312" s="5" t="s">
        <v>10</v>
      </c>
      <c r="J312" s="5" t="s">
        <v>24</v>
      </c>
      <c r="K312" s="5" t="s">
        <v>24</v>
      </c>
      <c r="L312" s="5" t="s">
        <v>22</v>
      </c>
      <c r="M312" s="6" t="s">
        <v>284</v>
      </c>
      <c r="N312" s="6" t="str">
        <f t="shared" si="38"/>
        <v>Rumah Negara Golongan II Tipe B Semi Permanen</v>
      </c>
      <c r="O312" t="b">
        <f t="shared" si="39"/>
        <v>0</v>
      </c>
      <c r="Q312" s="12" t="s">
        <v>918</v>
      </c>
      <c r="R312" s="27">
        <v>3</v>
      </c>
      <c r="S312" s="28">
        <v>11</v>
      </c>
      <c r="T312" s="28">
        <v>2</v>
      </c>
      <c r="U312" s="28">
        <v>2</v>
      </c>
      <c r="V312" s="28">
        <v>5</v>
      </c>
      <c r="W312" s="11" t="s">
        <v>534</v>
      </c>
      <c r="X312" t="str">
        <f t="shared" si="40"/>
        <v>Rumah Negara Golongan II Type B Semi Permanen</v>
      </c>
      <c r="Y312" s="13" t="s">
        <v>512</v>
      </c>
      <c r="Z312" s="13">
        <v>24</v>
      </c>
    </row>
    <row r="313" spans="1:26" ht="26.25" customHeight="1" x14ac:dyDescent="0.25">
      <c r="A313" t="s">
        <v>1307</v>
      </c>
      <c r="B313" t="str">
        <f t="shared" si="35"/>
        <v>3.11.2.2.6</v>
      </c>
      <c r="C313" t="str">
        <f t="shared" si="34"/>
        <v>Berubah</v>
      </c>
      <c r="D313" t="str">
        <f t="shared" si="36"/>
        <v>1.3.3.01.02.02.006</v>
      </c>
      <c r="E313" s="12" t="s">
        <v>919</v>
      </c>
      <c r="F313" s="4">
        <v>1</v>
      </c>
      <c r="G313" s="4">
        <v>3</v>
      </c>
      <c r="H313" s="4">
        <v>3</v>
      </c>
      <c r="I313" s="5" t="s">
        <v>10</v>
      </c>
      <c r="J313" s="5" t="s">
        <v>24</v>
      </c>
      <c r="K313" s="5" t="s">
        <v>24</v>
      </c>
      <c r="L313" s="5" t="s">
        <v>31</v>
      </c>
      <c r="M313" s="6" t="s">
        <v>285</v>
      </c>
      <c r="N313" s="6" t="str">
        <f t="shared" si="38"/>
        <v>Rumah Negara Golongan II Tipe B Darurat</v>
      </c>
      <c r="O313" t="b">
        <f t="shared" si="39"/>
        <v>0</v>
      </c>
      <c r="Q313" s="12" t="s">
        <v>919</v>
      </c>
      <c r="R313" s="27">
        <v>3</v>
      </c>
      <c r="S313" s="28">
        <v>11</v>
      </c>
      <c r="T313" s="28">
        <v>2</v>
      </c>
      <c r="U313" s="28">
        <v>2</v>
      </c>
      <c r="V313" s="28">
        <v>6</v>
      </c>
      <c r="W313" s="11" t="s">
        <v>535</v>
      </c>
      <c r="X313" t="str">
        <f t="shared" si="40"/>
        <v>Rumah Negara Golongan II Type B Darurat</v>
      </c>
      <c r="Y313" s="13" t="s">
        <v>512</v>
      </c>
      <c r="Z313" s="13">
        <v>25</v>
      </c>
    </row>
    <row r="314" spans="1:26" ht="26.25" customHeight="1" x14ac:dyDescent="0.25">
      <c r="A314" t="s">
        <v>1308</v>
      </c>
      <c r="B314" t="str">
        <f t="shared" si="35"/>
        <v>3.11.2.2.7</v>
      </c>
      <c r="C314" t="str">
        <f t="shared" ref="C314:C377" si="41">IF(R314&lt;&gt;"",IF(F314="","Keluar","Berubah"),"Bertambah")</f>
        <v>Berubah</v>
      </c>
      <c r="D314" t="str">
        <f t="shared" si="36"/>
        <v>1.3.3.01.02.02.007</v>
      </c>
      <c r="E314" s="12" t="s">
        <v>920</v>
      </c>
      <c r="F314" s="4">
        <v>1</v>
      </c>
      <c r="G314" s="4">
        <v>3</v>
      </c>
      <c r="H314" s="4">
        <v>3</v>
      </c>
      <c r="I314" s="5" t="s">
        <v>10</v>
      </c>
      <c r="J314" s="5" t="s">
        <v>24</v>
      </c>
      <c r="K314" s="5" t="s">
        <v>24</v>
      </c>
      <c r="L314" s="5" t="s">
        <v>33</v>
      </c>
      <c r="M314" s="6" t="s">
        <v>286</v>
      </c>
      <c r="N314" s="6" t="str">
        <f t="shared" si="38"/>
        <v>Rumah Negara Golongan II Tipe C Permanen</v>
      </c>
      <c r="O314" t="b">
        <f t="shared" si="39"/>
        <v>0</v>
      </c>
      <c r="Q314" s="12" t="s">
        <v>920</v>
      </c>
      <c r="R314" s="27">
        <v>3</v>
      </c>
      <c r="S314" s="28">
        <v>11</v>
      </c>
      <c r="T314" s="28">
        <v>2</v>
      </c>
      <c r="U314" s="28">
        <v>2</v>
      </c>
      <c r="V314" s="28">
        <v>7</v>
      </c>
      <c r="W314" s="11" t="s">
        <v>536</v>
      </c>
      <c r="X314" t="str">
        <f t="shared" si="40"/>
        <v>Rumah Negara Golongan II Type C permanen</v>
      </c>
      <c r="Y314" s="13" t="s">
        <v>512</v>
      </c>
      <c r="Z314" s="13">
        <v>26</v>
      </c>
    </row>
    <row r="315" spans="1:26" ht="26.25" customHeight="1" x14ac:dyDescent="0.25">
      <c r="A315" t="s">
        <v>1309</v>
      </c>
      <c r="B315" t="str">
        <f t="shared" si="35"/>
        <v>3.11.2.2.8</v>
      </c>
      <c r="C315" t="str">
        <f t="shared" si="41"/>
        <v>Berubah</v>
      </c>
      <c r="D315" t="str">
        <f t="shared" si="36"/>
        <v>1.3.3.01.02.02.008</v>
      </c>
      <c r="E315" s="12" t="s">
        <v>921</v>
      </c>
      <c r="F315" s="4">
        <v>1</v>
      </c>
      <c r="G315" s="4">
        <v>3</v>
      </c>
      <c r="H315" s="4">
        <v>3</v>
      </c>
      <c r="I315" s="5" t="s">
        <v>10</v>
      </c>
      <c r="J315" s="5" t="s">
        <v>24</v>
      </c>
      <c r="K315" s="5" t="s">
        <v>24</v>
      </c>
      <c r="L315" s="5" t="s">
        <v>35</v>
      </c>
      <c r="M315" s="6" t="s">
        <v>287</v>
      </c>
      <c r="N315" s="6" t="str">
        <f t="shared" si="38"/>
        <v>Rumah Negara Golongan II Tipe C Semi Permanen</v>
      </c>
      <c r="O315" t="b">
        <f t="shared" si="39"/>
        <v>0</v>
      </c>
      <c r="Q315" s="12" t="s">
        <v>921</v>
      </c>
      <c r="R315" s="27">
        <v>3</v>
      </c>
      <c r="S315" s="28">
        <v>11</v>
      </c>
      <c r="T315" s="28">
        <v>2</v>
      </c>
      <c r="U315" s="28">
        <v>2</v>
      </c>
      <c r="V315" s="28">
        <v>8</v>
      </c>
      <c r="W315" s="11" t="s">
        <v>537</v>
      </c>
      <c r="X315" t="str">
        <f t="shared" si="40"/>
        <v>Rumah Negara Golongan II Type C Semi Permanen</v>
      </c>
      <c r="Y315" s="13" t="s">
        <v>512</v>
      </c>
      <c r="Z315" s="13">
        <v>27</v>
      </c>
    </row>
    <row r="316" spans="1:26" ht="26.25" customHeight="1" x14ac:dyDescent="0.25">
      <c r="A316" t="s">
        <v>1310</v>
      </c>
      <c r="B316" t="str">
        <f t="shared" si="35"/>
        <v>3.11.2.2.9</v>
      </c>
      <c r="C316" t="str">
        <f t="shared" si="41"/>
        <v>Berubah</v>
      </c>
      <c r="D316" t="str">
        <f t="shared" si="36"/>
        <v>1.3.3.01.02.02.009</v>
      </c>
      <c r="E316" s="12" t="s">
        <v>922</v>
      </c>
      <c r="F316" s="4">
        <v>1</v>
      </c>
      <c r="G316" s="4">
        <v>3</v>
      </c>
      <c r="H316" s="4">
        <v>3</v>
      </c>
      <c r="I316" s="5" t="s">
        <v>10</v>
      </c>
      <c r="J316" s="5" t="s">
        <v>24</v>
      </c>
      <c r="K316" s="5" t="s">
        <v>24</v>
      </c>
      <c r="L316" s="5" t="s">
        <v>37</v>
      </c>
      <c r="M316" s="6" t="s">
        <v>288</v>
      </c>
      <c r="N316" s="6" t="str">
        <f t="shared" si="38"/>
        <v>Rumah Negara Golongan II Tipe C Darurat</v>
      </c>
      <c r="O316" t="b">
        <f t="shared" si="39"/>
        <v>0</v>
      </c>
      <c r="Q316" s="12" t="s">
        <v>922</v>
      </c>
      <c r="R316" s="27">
        <v>3</v>
      </c>
      <c r="S316" s="28">
        <v>11</v>
      </c>
      <c r="T316" s="28">
        <v>2</v>
      </c>
      <c r="U316" s="28">
        <v>2</v>
      </c>
      <c r="V316" s="28">
        <v>9</v>
      </c>
      <c r="W316" s="11" t="s">
        <v>538</v>
      </c>
      <c r="X316" t="str">
        <f t="shared" si="40"/>
        <v>Rumah Negara Golongan II Type C Darurat</v>
      </c>
      <c r="Y316" s="13" t="s">
        <v>512</v>
      </c>
      <c r="Z316" s="13">
        <v>28</v>
      </c>
    </row>
    <row r="317" spans="1:26" ht="26.25" customHeight="1" x14ac:dyDescent="0.25">
      <c r="A317" t="s">
        <v>1311</v>
      </c>
      <c r="B317" t="str">
        <f t="shared" si="35"/>
        <v>3.11.2.2.10</v>
      </c>
      <c r="C317" t="str">
        <f t="shared" si="41"/>
        <v>Berubah</v>
      </c>
      <c r="D317" t="str">
        <f t="shared" si="36"/>
        <v>1.3.3.01.02.02.010</v>
      </c>
      <c r="E317" s="12" t="s">
        <v>923</v>
      </c>
      <c r="F317" s="4">
        <v>1</v>
      </c>
      <c r="G317" s="4">
        <v>3</v>
      </c>
      <c r="H317" s="4">
        <v>3</v>
      </c>
      <c r="I317" s="5" t="s">
        <v>10</v>
      </c>
      <c r="J317" s="5" t="s">
        <v>24</v>
      </c>
      <c r="K317" s="5" t="s">
        <v>24</v>
      </c>
      <c r="L317" s="5" t="s">
        <v>39</v>
      </c>
      <c r="M317" s="6" t="s">
        <v>289</v>
      </c>
      <c r="N317" s="6" t="str">
        <f t="shared" si="38"/>
        <v>Rumah Negara Golongan II Tipe D Permanen</v>
      </c>
      <c r="O317" t="b">
        <f t="shared" si="39"/>
        <v>0</v>
      </c>
      <c r="Q317" s="12" t="s">
        <v>923</v>
      </c>
      <c r="R317" s="27">
        <v>3</v>
      </c>
      <c r="S317" s="28">
        <v>11</v>
      </c>
      <c r="T317" s="28">
        <v>2</v>
      </c>
      <c r="U317" s="28">
        <v>2</v>
      </c>
      <c r="V317" s="28">
        <v>10</v>
      </c>
      <c r="W317" s="11" t="s">
        <v>539</v>
      </c>
      <c r="X317" t="str">
        <f t="shared" si="40"/>
        <v>Rumah Negara Golongan II Type D Permanen</v>
      </c>
      <c r="Y317" s="13" t="s">
        <v>512</v>
      </c>
      <c r="Z317" s="13">
        <v>29</v>
      </c>
    </row>
    <row r="318" spans="1:26" ht="26.25" customHeight="1" x14ac:dyDescent="0.25">
      <c r="A318" t="s">
        <v>1312</v>
      </c>
      <c r="B318" t="str">
        <f t="shared" si="35"/>
        <v>3.11.2.2.11</v>
      </c>
      <c r="C318" t="str">
        <f t="shared" si="41"/>
        <v>Berubah</v>
      </c>
      <c r="D318" t="str">
        <f t="shared" si="36"/>
        <v>1.3.3.01.02.02.011</v>
      </c>
      <c r="E318" s="12" t="s">
        <v>924</v>
      </c>
      <c r="F318" s="4">
        <v>1</v>
      </c>
      <c r="G318" s="4">
        <v>3</v>
      </c>
      <c r="H318" s="4">
        <v>3</v>
      </c>
      <c r="I318" s="5" t="s">
        <v>10</v>
      </c>
      <c r="J318" s="5" t="s">
        <v>24</v>
      </c>
      <c r="K318" s="5" t="s">
        <v>24</v>
      </c>
      <c r="L318" s="5" t="s">
        <v>41</v>
      </c>
      <c r="M318" s="6" t="s">
        <v>290</v>
      </c>
      <c r="N318" s="6" t="str">
        <f t="shared" si="38"/>
        <v>Rumah Negara Golongan II Tipe D Semi Permanen</v>
      </c>
      <c r="O318" t="b">
        <f t="shared" si="39"/>
        <v>0</v>
      </c>
      <c r="Q318" s="12" t="s">
        <v>924</v>
      </c>
      <c r="R318" s="27">
        <v>3</v>
      </c>
      <c r="S318" s="28">
        <v>11</v>
      </c>
      <c r="T318" s="28">
        <v>2</v>
      </c>
      <c r="U318" s="28">
        <v>2</v>
      </c>
      <c r="V318" s="28">
        <v>11</v>
      </c>
      <c r="W318" s="11" t="s">
        <v>540</v>
      </c>
      <c r="X318" t="str">
        <f t="shared" si="40"/>
        <v>Rumah Negara Golongan II Type D Semi Permanen</v>
      </c>
      <c r="Y318" s="13" t="s">
        <v>512</v>
      </c>
      <c r="Z318" s="13">
        <v>30</v>
      </c>
    </row>
    <row r="319" spans="1:26" ht="26.25" customHeight="1" x14ac:dyDescent="0.25">
      <c r="A319" t="s">
        <v>1313</v>
      </c>
      <c r="B319" t="str">
        <f t="shared" si="35"/>
        <v>3.11.2.2.12</v>
      </c>
      <c r="C319" t="str">
        <f t="shared" si="41"/>
        <v>Berubah</v>
      </c>
      <c r="D319" t="str">
        <f t="shared" si="36"/>
        <v>1.3.3.01.02.02.012</v>
      </c>
      <c r="E319" s="12" t="s">
        <v>925</v>
      </c>
      <c r="F319" s="4">
        <v>1</v>
      </c>
      <c r="G319" s="4">
        <v>3</v>
      </c>
      <c r="H319" s="4">
        <v>3</v>
      </c>
      <c r="I319" s="5" t="s">
        <v>10</v>
      </c>
      <c r="J319" s="5" t="s">
        <v>24</v>
      </c>
      <c r="K319" s="5" t="s">
        <v>24</v>
      </c>
      <c r="L319" s="5" t="s">
        <v>43</v>
      </c>
      <c r="M319" s="6" t="s">
        <v>291</v>
      </c>
      <c r="N319" s="6" t="str">
        <f t="shared" si="38"/>
        <v>Rumah Negara Golongan II Tipe D Darurat</v>
      </c>
      <c r="O319" t="b">
        <f t="shared" si="39"/>
        <v>0</v>
      </c>
      <c r="Q319" s="12" t="s">
        <v>925</v>
      </c>
      <c r="R319" s="27">
        <v>3</v>
      </c>
      <c r="S319" s="28">
        <v>11</v>
      </c>
      <c r="T319" s="28">
        <v>2</v>
      </c>
      <c r="U319" s="28">
        <v>2</v>
      </c>
      <c r="V319" s="28">
        <v>12</v>
      </c>
      <c r="W319" s="11" t="s">
        <v>541</v>
      </c>
      <c r="X319" t="str">
        <f t="shared" si="40"/>
        <v>Rumah Negara Golongan II Type D Darurat</v>
      </c>
      <c r="Y319" s="13" t="s">
        <v>512</v>
      </c>
      <c r="Z319" s="13">
        <v>31</v>
      </c>
    </row>
    <row r="320" spans="1:26" ht="26.25" customHeight="1" x14ac:dyDescent="0.25">
      <c r="A320" t="s">
        <v>1314</v>
      </c>
      <c r="B320" t="str">
        <f t="shared" si="35"/>
        <v>3.11.2.2.13</v>
      </c>
      <c r="C320" t="str">
        <f t="shared" si="41"/>
        <v>Berubah</v>
      </c>
      <c r="D320" t="str">
        <f t="shared" si="36"/>
        <v>1.3.3.01.02.02.013</v>
      </c>
      <c r="E320" s="12" t="s">
        <v>926</v>
      </c>
      <c r="F320" s="4">
        <v>1</v>
      </c>
      <c r="G320" s="4">
        <v>3</v>
      </c>
      <c r="H320" s="4">
        <v>3</v>
      </c>
      <c r="I320" s="5" t="s">
        <v>10</v>
      </c>
      <c r="J320" s="5" t="s">
        <v>24</v>
      </c>
      <c r="K320" s="5" t="s">
        <v>24</v>
      </c>
      <c r="L320" s="5" t="s">
        <v>45</v>
      </c>
      <c r="M320" s="6" t="s">
        <v>292</v>
      </c>
      <c r="N320" s="6" t="str">
        <f t="shared" si="38"/>
        <v>Rumah Negara Golongan II Tipe E Permanen</v>
      </c>
      <c r="O320" t="b">
        <f t="shared" si="39"/>
        <v>0</v>
      </c>
      <c r="Q320" s="12" t="s">
        <v>926</v>
      </c>
      <c r="R320" s="27">
        <v>3</v>
      </c>
      <c r="S320" s="28">
        <v>11</v>
      </c>
      <c r="T320" s="28">
        <v>2</v>
      </c>
      <c r="U320" s="28">
        <v>2</v>
      </c>
      <c r="V320" s="28">
        <v>13</v>
      </c>
      <c r="W320" s="11" t="s">
        <v>542</v>
      </c>
      <c r="X320" t="str">
        <f t="shared" si="40"/>
        <v>Rumah Negara Golongan II Type E Permanen</v>
      </c>
      <c r="Y320" s="13" t="s">
        <v>512</v>
      </c>
      <c r="Z320" s="13">
        <v>32</v>
      </c>
    </row>
    <row r="321" spans="1:26" ht="26.25" customHeight="1" x14ac:dyDescent="0.25">
      <c r="A321" t="s">
        <v>1315</v>
      </c>
      <c r="B321" t="str">
        <f t="shared" si="35"/>
        <v>3.11.2.2.14</v>
      </c>
      <c r="C321" t="str">
        <f t="shared" si="41"/>
        <v>Berubah</v>
      </c>
      <c r="D321" t="str">
        <f t="shared" si="36"/>
        <v>1.3.3.01.02.02.014</v>
      </c>
      <c r="E321" s="12" t="s">
        <v>927</v>
      </c>
      <c r="F321" s="4">
        <v>1</v>
      </c>
      <c r="G321" s="4">
        <v>3</v>
      </c>
      <c r="H321" s="4">
        <v>3</v>
      </c>
      <c r="I321" s="5" t="s">
        <v>10</v>
      </c>
      <c r="J321" s="5" t="s">
        <v>24</v>
      </c>
      <c r="K321" s="5" t="s">
        <v>24</v>
      </c>
      <c r="L321" s="5" t="s">
        <v>47</v>
      </c>
      <c r="M321" s="6" t="s">
        <v>293</v>
      </c>
      <c r="N321" s="6" t="str">
        <f t="shared" si="38"/>
        <v>Rumah Negara Golongan II Tipe E Semi Permanen</v>
      </c>
      <c r="O321" t="b">
        <f t="shared" si="39"/>
        <v>0</v>
      </c>
      <c r="Q321" s="12" t="s">
        <v>927</v>
      </c>
      <c r="R321" s="27">
        <v>3</v>
      </c>
      <c r="S321" s="28">
        <v>11</v>
      </c>
      <c r="T321" s="28">
        <v>2</v>
      </c>
      <c r="U321" s="28">
        <v>2</v>
      </c>
      <c r="V321" s="28">
        <v>14</v>
      </c>
      <c r="W321" s="11" t="s">
        <v>543</v>
      </c>
      <c r="X321" t="str">
        <f t="shared" si="40"/>
        <v>Rumah Negara Golongan II Type E Semi Permanen</v>
      </c>
      <c r="Y321" s="13" t="s">
        <v>512</v>
      </c>
      <c r="Z321" s="13">
        <v>33</v>
      </c>
    </row>
    <row r="322" spans="1:26" ht="26.25" customHeight="1" x14ac:dyDescent="0.25">
      <c r="A322" t="s">
        <v>1316</v>
      </c>
      <c r="B322" t="str">
        <f t="shared" si="35"/>
        <v>3.11.2.2.15</v>
      </c>
      <c r="C322" t="str">
        <f t="shared" si="41"/>
        <v>Berubah</v>
      </c>
      <c r="D322" t="str">
        <f t="shared" si="36"/>
        <v>1.3.3.01.02.02.015</v>
      </c>
      <c r="E322" s="12" t="s">
        <v>928</v>
      </c>
      <c r="F322" s="4">
        <v>1</v>
      </c>
      <c r="G322" s="4">
        <v>3</v>
      </c>
      <c r="H322" s="4">
        <v>3</v>
      </c>
      <c r="I322" s="5" t="s">
        <v>10</v>
      </c>
      <c r="J322" s="5" t="s">
        <v>24</v>
      </c>
      <c r="K322" s="5" t="s">
        <v>24</v>
      </c>
      <c r="L322" s="5" t="s">
        <v>82</v>
      </c>
      <c r="M322" s="6" t="s">
        <v>294</v>
      </c>
      <c r="N322" s="6" t="str">
        <f t="shared" si="38"/>
        <v>Rumah Negara Golongan II Tipe E Darurat</v>
      </c>
      <c r="O322" t="b">
        <f t="shared" si="39"/>
        <v>0</v>
      </c>
      <c r="Q322" s="12" t="s">
        <v>928</v>
      </c>
      <c r="R322" s="27">
        <v>3</v>
      </c>
      <c r="S322" s="28">
        <v>11</v>
      </c>
      <c r="T322" s="28">
        <v>2</v>
      </c>
      <c r="U322" s="28">
        <v>2</v>
      </c>
      <c r="V322" s="28">
        <v>15</v>
      </c>
      <c r="W322" s="11" t="s">
        <v>544</v>
      </c>
      <c r="X322" t="str">
        <f t="shared" si="40"/>
        <v>Rumah Negara Golongan II Type E Darurat</v>
      </c>
      <c r="Y322" s="13" t="s">
        <v>512</v>
      </c>
      <c r="Z322" s="13">
        <v>34</v>
      </c>
    </row>
    <row r="323" spans="1:26" ht="26.25" customHeight="1" x14ac:dyDescent="0.25">
      <c r="A323" t="s">
        <v>1317</v>
      </c>
      <c r="B323" t="str">
        <f t="shared" si="35"/>
        <v>3.11.2.2.16</v>
      </c>
      <c r="C323" t="str">
        <f t="shared" si="41"/>
        <v>Berubah</v>
      </c>
      <c r="D323" t="str">
        <f t="shared" si="36"/>
        <v>1.3.3.01.02.02.016</v>
      </c>
      <c r="E323" s="12" t="s">
        <v>929</v>
      </c>
      <c r="F323" s="4">
        <v>1</v>
      </c>
      <c r="G323" s="4">
        <v>3</v>
      </c>
      <c r="H323" s="4">
        <v>3</v>
      </c>
      <c r="I323" s="5" t="s">
        <v>10</v>
      </c>
      <c r="J323" s="5" t="s">
        <v>24</v>
      </c>
      <c r="K323" s="5" t="s">
        <v>24</v>
      </c>
      <c r="L323" s="5" t="s">
        <v>84</v>
      </c>
      <c r="M323" s="6" t="s">
        <v>23</v>
      </c>
      <c r="N323" s="6" t="str">
        <f t="shared" si="38"/>
        <v>Dst….</v>
      </c>
      <c r="O323" t="b">
        <f t="shared" si="39"/>
        <v>0</v>
      </c>
      <c r="Q323" s="12" t="s">
        <v>929</v>
      </c>
      <c r="R323" s="27">
        <v>3</v>
      </c>
      <c r="S323" s="28">
        <v>11</v>
      </c>
      <c r="T323" s="28">
        <v>2</v>
      </c>
      <c r="U323" s="28">
        <v>2</v>
      </c>
      <c r="V323" s="28">
        <v>16</v>
      </c>
      <c r="W323" s="11" t="s">
        <v>415</v>
      </c>
      <c r="X323" t="str">
        <f t="shared" si="40"/>
        <v>Lain-lain</v>
      </c>
      <c r="Y323" s="13" t="s">
        <v>512</v>
      </c>
      <c r="Z323" s="13">
        <v>35</v>
      </c>
    </row>
    <row r="324" spans="1:26" ht="26.25" customHeight="1" x14ac:dyDescent="0.25">
      <c r="A324" t="s">
        <v>1129</v>
      </c>
      <c r="B324" t="str">
        <f t="shared" si="35"/>
        <v>....</v>
      </c>
      <c r="C324" t="str">
        <f t="shared" si="41"/>
        <v>Bertambah</v>
      </c>
      <c r="D324" t="str">
        <f t="shared" si="36"/>
        <v>......</v>
      </c>
      <c r="E324" s="12" t="s">
        <v>930</v>
      </c>
      <c r="F324" s="4"/>
      <c r="G324" s="4"/>
      <c r="H324" s="4"/>
      <c r="I324" s="5"/>
      <c r="J324" s="5"/>
      <c r="K324" s="5"/>
      <c r="L324" s="5"/>
      <c r="M324" s="6"/>
      <c r="N324" s="6" t="str">
        <f t="shared" si="38"/>
        <v/>
      </c>
      <c r="O324" t="b">
        <f t="shared" si="39"/>
        <v>1</v>
      </c>
      <c r="Q324" s="12" t="s">
        <v>930</v>
      </c>
      <c r="R324" s="27"/>
      <c r="S324" s="28"/>
      <c r="T324" s="28"/>
      <c r="U324" s="28"/>
      <c r="V324" s="28"/>
      <c r="W324" s="11"/>
      <c r="X324" t="str">
        <f t="shared" si="40"/>
        <v/>
      </c>
      <c r="Y324" s="13"/>
      <c r="Z324" s="13"/>
    </row>
    <row r="325" spans="1:26" ht="26.25" customHeight="1" x14ac:dyDescent="0.25">
      <c r="A325" t="s">
        <v>1318</v>
      </c>
      <c r="B325" t="str">
        <f t="shared" si="35"/>
        <v>3.11.2.3.*</v>
      </c>
      <c r="C325" t="str">
        <f t="shared" si="41"/>
        <v>Berubah</v>
      </c>
      <c r="D325" t="str">
        <f t="shared" si="36"/>
        <v>1.3.3.01.02.03.</v>
      </c>
      <c r="E325" s="12" t="s">
        <v>931</v>
      </c>
      <c r="F325" s="4">
        <v>1</v>
      </c>
      <c r="G325" s="4">
        <v>3</v>
      </c>
      <c r="H325" s="4">
        <v>3</v>
      </c>
      <c r="I325" s="5" t="s">
        <v>10</v>
      </c>
      <c r="J325" s="5" t="s">
        <v>24</v>
      </c>
      <c r="K325" s="5" t="s">
        <v>48</v>
      </c>
      <c r="L325" s="5"/>
      <c r="M325" s="6" t="s">
        <v>295</v>
      </c>
      <c r="N325" s="6" t="str">
        <f t="shared" si="38"/>
        <v>RUMAH NEGARA GOLONGAN III</v>
      </c>
      <c r="O325" t="b">
        <f t="shared" si="39"/>
        <v>0</v>
      </c>
      <c r="Q325" s="12" t="s">
        <v>931</v>
      </c>
      <c r="R325" s="27">
        <v>3</v>
      </c>
      <c r="S325" s="28">
        <v>11</v>
      </c>
      <c r="T325" s="28">
        <v>2</v>
      </c>
      <c r="U325" s="28">
        <v>3</v>
      </c>
      <c r="V325" s="28" t="s">
        <v>411</v>
      </c>
      <c r="W325" s="11" t="s">
        <v>545</v>
      </c>
      <c r="X325" t="str">
        <f t="shared" si="40"/>
        <v>Rumah Negara Golongan III</v>
      </c>
      <c r="Y325" s="13" t="s">
        <v>512</v>
      </c>
      <c r="Z325" s="13">
        <v>36</v>
      </c>
    </row>
    <row r="326" spans="1:26" ht="26.25" customHeight="1" x14ac:dyDescent="0.25">
      <c r="A326" t="s">
        <v>1319</v>
      </c>
      <c r="B326" t="str">
        <f t="shared" si="35"/>
        <v>3.11.2.3.1</v>
      </c>
      <c r="C326" t="str">
        <f t="shared" si="41"/>
        <v>Berubah</v>
      </c>
      <c r="D326" t="str">
        <f t="shared" si="36"/>
        <v>1.3.3.01.02.03.001</v>
      </c>
      <c r="E326" s="12" t="s">
        <v>932</v>
      </c>
      <c r="F326" s="4">
        <v>1</v>
      </c>
      <c r="G326" s="4">
        <v>3</v>
      </c>
      <c r="H326" s="4">
        <v>3</v>
      </c>
      <c r="I326" s="5" t="s">
        <v>10</v>
      </c>
      <c r="J326" s="5" t="s">
        <v>24</v>
      </c>
      <c r="K326" s="5" t="s">
        <v>48</v>
      </c>
      <c r="L326" s="5" t="s">
        <v>14</v>
      </c>
      <c r="M326" s="6" t="s">
        <v>296</v>
      </c>
      <c r="N326" s="6" t="str">
        <f t="shared" si="38"/>
        <v>Rumah Negara Golongan III Tipe A Permanen</v>
      </c>
      <c r="O326" t="b">
        <f t="shared" si="39"/>
        <v>0</v>
      </c>
      <c r="Q326" s="12" t="s">
        <v>932</v>
      </c>
      <c r="R326" s="27">
        <v>3</v>
      </c>
      <c r="S326" s="28">
        <v>11</v>
      </c>
      <c r="T326" s="28">
        <v>2</v>
      </c>
      <c r="U326" s="28">
        <v>3</v>
      </c>
      <c r="V326" s="28">
        <v>1</v>
      </c>
      <c r="W326" s="11" t="s">
        <v>546</v>
      </c>
      <c r="X326" t="str">
        <f t="shared" si="40"/>
        <v>Rumah Negara Golongan III Type A Permanen</v>
      </c>
      <c r="Y326" s="13" t="s">
        <v>512</v>
      </c>
      <c r="Z326" s="13">
        <v>37</v>
      </c>
    </row>
    <row r="327" spans="1:26" ht="26.25" customHeight="1" x14ac:dyDescent="0.25">
      <c r="A327" t="s">
        <v>1320</v>
      </c>
      <c r="B327" t="str">
        <f t="shared" ref="B327:B390" si="42">R327&amp;"."&amp;S327&amp;"."&amp;T327&amp;"."&amp;U327&amp;"."&amp;V327</f>
        <v>3.11.2.3.2</v>
      </c>
      <c r="C327" t="str">
        <f t="shared" si="41"/>
        <v>Berubah</v>
      </c>
      <c r="D327" t="str">
        <f t="shared" si="36"/>
        <v>1.3.3.01.02.03.002</v>
      </c>
      <c r="E327" s="12" t="s">
        <v>933</v>
      </c>
      <c r="F327" s="4">
        <v>1</v>
      </c>
      <c r="G327" s="4">
        <v>3</v>
      </c>
      <c r="H327" s="4">
        <v>3</v>
      </c>
      <c r="I327" s="5" t="s">
        <v>10</v>
      </c>
      <c r="J327" s="5" t="s">
        <v>24</v>
      </c>
      <c r="K327" s="5" t="s">
        <v>48</v>
      </c>
      <c r="L327" s="5" t="s">
        <v>16</v>
      </c>
      <c r="M327" s="6" t="s">
        <v>297</v>
      </c>
      <c r="N327" s="6" t="str">
        <f t="shared" si="38"/>
        <v>Rumah Negara Golongan III Tipe A Semi Permanen</v>
      </c>
      <c r="O327" t="b">
        <f t="shared" si="39"/>
        <v>0</v>
      </c>
      <c r="Q327" s="12" t="s">
        <v>933</v>
      </c>
      <c r="R327" s="27">
        <v>3</v>
      </c>
      <c r="S327" s="28">
        <v>11</v>
      </c>
      <c r="T327" s="28">
        <v>2</v>
      </c>
      <c r="U327" s="28">
        <v>3</v>
      </c>
      <c r="V327" s="28">
        <v>2</v>
      </c>
      <c r="W327" s="11" t="s">
        <v>547</v>
      </c>
      <c r="X327" t="str">
        <f t="shared" si="40"/>
        <v>Rumah Negara Golongan III Type A Semi Permanen</v>
      </c>
      <c r="Y327" s="13" t="s">
        <v>512</v>
      </c>
      <c r="Z327" s="13">
        <v>38</v>
      </c>
    </row>
    <row r="328" spans="1:26" ht="26.25" customHeight="1" x14ac:dyDescent="0.25">
      <c r="A328" t="s">
        <v>1321</v>
      </c>
      <c r="B328" t="str">
        <f t="shared" si="42"/>
        <v>3.11.2.3.3</v>
      </c>
      <c r="C328" t="str">
        <f t="shared" si="41"/>
        <v>Berubah</v>
      </c>
      <c r="D328" t="str">
        <f t="shared" ref="D328:D391" si="43">F328&amp;"."&amp;G328&amp;"."&amp;H328&amp;"."&amp;I328&amp;"."&amp;J328&amp;"."&amp;K328&amp;"."&amp;L328</f>
        <v>1.3.3.01.02.03.003</v>
      </c>
      <c r="E328" s="12" t="s">
        <v>934</v>
      </c>
      <c r="F328" s="4">
        <v>1</v>
      </c>
      <c r="G328" s="4">
        <v>3</v>
      </c>
      <c r="H328" s="4">
        <v>3</v>
      </c>
      <c r="I328" s="5" t="s">
        <v>10</v>
      </c>
      <c r="J328" s="5" t="s">
        <v>24</v>
      </c>
      <c r="K328" s="5" t="s">
        <v>48</v>
      </c>
      <c r="L328" s="5" t="s">
        <v>18</v>
      </c>
      <c r="M328" s="6" t="s">
        <v>298</v>
      </c>
      <c r="N328" s="6" t="str">
        <f t="shared" si="38"/>
        <v>Rumah Negara Golongan III Tipe A Darurat</v>
      </c>
      <c r="O328" t="b">
        <f t="shared" si="39"/>
        <v>0</v>
      </c>
      <c r="Q328" s="12" t="s">
        <v>934</v>
      </c>
      <c r="R328" s="27">
        <v>3</v>
      </c>
      <c r="S328" s="28">
        <v>11</v>
      </c>
      <c r="T328" s="28">
        <v>2</v>
      </c>
      <c r="U328" s="28">
        <v>3</v>
      </c>
      <c r="V328" s="28">
        <v>3</v>
      </c>
      <c r="W328" s="11" t="s">
        <v>548</v>
      </c>
      <c r="X328" t="str">
        <f t="shared" si="40"/>
        <v>Rumah Negara Golongan III Type A Darurat</v>
      </c>
      <c r="Y328" s="13" t="s">
        <v>512</v>
      </c>
      <c r="Z328" s="13">
        <v>39</v>
      </c>
    </row>
    <row r="329" spans="1:26" ht="26.25" customHeight="1" x14ac:dyDescent="0.25">
      <c r="A329" t="s">
        <v>1322</v>
      </c>
      <c r="B329" t="str">
        <f t="shared" si="42"/>
        <v>3.11.2.3.4</v>
      </c>
      <c r="C329" t="str">
        <f t="shared" si="41"/>
        <v>Berubah</v>
      </c>
      <c r="D329" t="str">
        <f t="shared" si="43"/>
        <v>1.3.3.01.02.03.004</v>
      </c>
      <c r="E329" s="12" t="s">
        <v>935</v>
      </c>
      <c r="F329" s="4">
        <v>1</v>
      </c>
      <c r="G329" s="4">
        <v>3</v>
      </c>
      <c r="H329" s="4">
        <v>3</v>
      </c>
      <c r="I329" s="5" t="s">
        <v>10</v>
      </c>
      <c r="J329" s="5" t="s">
        <v>24</v>
      </c>
      <c r="K329" s="5" t="s">
        <v>48</v>
      </c>
      <c r="L329" s="5" t="s">
        <v>20</v>
      </c>
      <c r="M329" s="6" t="s">
        <v>299</v>
      </c>
      <c r="N329" s="6" t="str">
        <f t="shared" si="38"/>
        <v>Rumah Negara Golongan III Tipe B Permanen</v>
      </c>
      <c r="O329" t="b">
        <f t="shared" si="39"/>
        <v>0</v>
      </c>
      <c r="Q329" s="12" t="s">
        <v>935</v>
      </c>
      <c r="R329" s="27">
        <v>3</v>
      </c>
      <c r="S329" s="28">
        <v>11</v>
      </c>
      <c r="T329" s="28">
        <v>2</v>
      </c>
      <c r="U329" s="28">
        <v>3</v>
      </c>
      <c r="V329" s="28">
        <v>4</v>
      </c>
      <c r="W329" s="11" t="s">
        <v>549</v>
      </c>
      <c r="X329" t="str">
        <f t="shared" si="40"/>
        <v>Rumah Negara Golongan III Type B Permanen</v>
      </c>
      <c r="Y329" s="13" t="s">
        <v>512</v>
      </c>
      <c r="Z329" s="13">
        <v>40</v>
      </c>
    </row>
    <row r="330" spans="1:26" ht="26.25" customHeight="1" x14ac:dyDescent="0.25">
      <c r="A330" t="s">
        <v>1323</v>
      </c>
      <c r="B330" t="str">
        <f t="shared" si="42"/>
        <v>3.11.2.3.5</v>
      </c>
      <c r="C330" t="str">
        <f t="shared" si="41"/>
        <v>Berubah</v>
      </c>
      <c r="D330" t="str">
        <f t="shared" si="43"/>
        <v>1.3.3.01.02.03.005</v>
      </c>
      <c r="E330" s="12" t="s">
        <v>936</v>
      </c>
      <c r="F330" s="4">
        <v>1</v>
      </c>
      <c r="G330" s="4">
        <v>3</v>
      </c>
      <c r="H330" s="4">
        <v>3</v>
      </c>
      <c r="I330" s="5" t="s">
        <v>10</v>
      </c>
      <c r="J330" s="5" t="s">
        <v>24</v>
      </c>
      <c r="K330" s="5" t="s">
        <v>48</v>
      </c>
      <c r="L330" s="5" t="s">
        <v>22</v>
      </c>
      <c r="M330" s="6" t="s">
        <v>300</v>
      </c>
      <c r="N330" s="6" t="str">
        <f t="shared" si="38"/>
        <v>Rumah Negara Golongan III Tipe B Semi Permanen</v>
      </c>
      <c r="O330" t="b">
        <f t="shared" si="39"/>
        <v>0</v>
      </c>
      <c r="Q330" s="12" t="s">
        <v>936</v>
      </c>
      <c r="R330" s="27">
        <v>3</v>
      </c>
      <c r="S330" s="28">
        <v>11</v>
      </c>
      <c r="T330" s="28">
        <v>2</v>
      </c>
      <c r="U330" s="28">
        <v>3</v>
      </c>
      <c r="V330" s="28">
        <v>5</v>
      </c>
      <c r="W330" s="11" t="s">
        <v>550</v>
      </c>
      <c r="X330" t="str">
        <f t="shared" si="40"/>
        <v>Rumah Negara Golongan III Type B Semi Permanen</v>
      </c>
      <c r="Y330" s="13" t="s">
        <v>512</v>
      </c>
      <c r="Z330" s="13">
        <v>41</v>
      </c>
    </row>
    <row r="331" spans="1:26" ht="26.25" customHeight="1" x14ac:dyDescent="0.25">
      <c r="A331" t="s">
        <v>1324</v>
      </c>
      <c r="B331" t="str">
        <f t="shared" si="42"/>
        <v>3.11.2.3.6</v>
      </c>
      <c r="C331" t="str">
        <f t="shared" si="41"/>
        <v>Berubah</v>
      </c>
      <c r="D331" t="str">
        <f t="shared" si="43"/>
        <v>1.3.3.01.02.03.006</v>
      </c>
      <c r="E331" s="12" t="s">
        <v>937</v>
      </c>
      <c r="F331" s="4">
        <v>1</v>
      </c>
      <c r="G331" s="4">
        <v>3</v>
      </c>
      <c r="H331" s="4">
        <v>3</v>
      </c>
      <c r="I331" s="5" t="s">
        <v>10</v>
      </c>
      <c r="J331" s="5" t="s">
        <v>24</v>
      </c>
      <c r="K331" s="5" t="s">
        <v>48</v>
      </c>
      <c r="L331" s="5" t="s">
        <v>31</v>
      </c>
      <c r="M331" s="6" t="s">
        <v>301</v>
      </c>
      <c r="N331" s="6" t="str">
        <f t="shared" si="38"/>
        <v>Rumah Negara Golongan III Tipe B Darurat</v>
      </c>
      <c r="O331" t="b">
        <f t="shared" si="39"/>
        <v>0</v>
      </c>
      <c r="Q331" s="12" t="s">
        <v>937</v>
      </c>
      <c r="R331" s="27">
        <v>3</v>
      </c>
      <c r="S331" s="28">
        <v>11</v>
      </c>
      <c r="T331" s="28">
        <v>2</v>
      </c>
      <c r="U331" s="28">
        <v>3</v>
      </c>
      <c r="V331" s="28">
        <v>6</v>
      </c>
      <c r="W331" s="11" t="s">
        <v>551</v>
      </c>
      <c r="X331" t="str">
        <f t="shared" si="40"/>
        <v>Rumah Negara Golongan III Type B Darurat</v>
      </c>
      <c r="Y331" s="13" t="s">
        <v>512</v>
      </c>
      <c r="Z331" s="13">
        <v>42</v>
      </c>
    </row>
    <row r="332" spans="1:26" ht="26.25" customHeight="1" x14ac:dyDescent="0.25">
      <c r="A332" t="s">
        <v>1325</v>
      </c>
      <c r="B332" t="str">
        <f t="shared" si="42"/>
        <v>3.11.2.3.7</v>
      </c>
      <c r="C332" t="str">
        <f t="shared" si="41"/>
        <v>Berubah</v>
      </c>
      <c r="D332" t="str">
        <f t="shared" si="43"/>
        <v>1.3.3.01.02.03.007</v>
      </c>
      <c r="E332" s="12" t="s">
        <v>938</v>
      </c>
      <c r="F332" s="4">
        <v>1</v>
      </c>
      <c r="G332" s="4">
        <v>3</v>
      </c>
      <c r="H332" s="4">
        <v>3</v>
      </c>
      <c r="I332" s="5" t="s">
        <v>10</v>
      </c>
      <c r="J332" s="5" t="s">
        <v>24</v>
      </c>
      <c r="K332" s="5" t="s">
        <v>48</v>
      </c>
      <c r="L332" s="5" t="s">
        <v>33</v>
      </c>
      <c r="M332" s="6" t="s">
        <v>302</v>
      </c>
      <c r="N332" s="6" t="str">
        <f t="shared" si="38"/>
        <v>Rumah Negara Golongan III Tipe C Permanen</v>
      </c>
      <c r="O332" t="b">
        <f t="shared" si="39"/>
        <v>0</v>
      </c>
      <c r="Q332" s="12" t="s">
        <v>938</v>
      </c>
      <c r="R332" s="27">
        <v>3</v>
      </c>
      <c r="S332" s="28">
        <v>11</v>
      </c>
      <c r="T332" s="28">
        <v>2</v>
      </c>
      <c r="U332" s="28">
        <v>3</v>
      </c>
      <c r="V332" s="28">
        <v>7</v>
      </c>
      <c r="W332" s="11" t="s">
        <v>552</v>
      </c>
      <c r="X332" t="str">
        <f t="shared" si="40"/>
        <v>Rumah Negara Golongan III Type C Permanen</v>
      </c>
      <c r="Y332" s="13" t="s">
        <v>512</v>
      </c>
      <c r="Z332" s="13">
        <v>43</v>
      </c>
    </row>
    <row r="333" spans="1:26" ht="26.25" customHeight="1" x14ac:dyDescent="0.25">
      <c r="A333" t="s">
        <v>1326</v>
      </c>
      <c r="B333" t="str">
        <f t="shared" si="42"/>
        <v>3.11.2.3.8</v>
      </c>
      <c r="C333" t="str">
        <f t="shared" si="41"/>
        <v>Berubah</v>
      </c>
      <c r="D333" t="str">
        <f t="shared" si="43"/>
        <v>1.3.3.01.02.03.008</v>
      </c>
      <c r="E333" s="12" t="s">
        <v>939</v>
      </c>
      <c r="F333" s="4">
        <v>1</v>
      </c>
      <c r="G333" s="4">
        <v>3</v>
      </c>
      <c r="H333" s="4">
        <v>3</v>
      </c>
      <c r="I333" s="5" t="s">
        <v>10</v>
      </c>
      <c r="J333" s="5" t="s">
        <v>24</v>
      </c>
      <c r="K333" s="5" t="s">
        <v>48</v>
      </c>
      <c r="L333" s="5" t="s">
        <v>35</v>
      </c>
      <c r="M333" s="6" t="s">
        <v>303</v>
      </c>
      <c r="N333" s="6" t="str">
        <f t="shared" si="38"/>
        <v>Rumah Negara Golongan III Tipe C Semi Permanen</v>
      </c>
      <c r="O333" t="b">
        <f t="shared" si="39"/>
        <v>0</v>
      </c>
      <c r="Q333" s="12" t="s">
        <v>939</v>
      </c>
      <c r="R333" s="27">
        <v>3</v>
      </c>
      <c r="S333" s="28">
        <v>11</v>
      </c>
      <c r="T333" s="28">
        <v>2</v>
      </c>
      <c r="U333" s="28">
        <v>3</v>
      </c>
      <c r="V333" s="28">
        <v>8</v>
      </c>
      <c r="W333" s="11" t="s">
        <v>553</v>
      </c>
      <c r="X333" t="str">
        <f t="shared" si="40"/>
        <v>Rumah Negara Golongan III Type C Semi Permanen</v>
      </c>
      <c r="Y333" s="13" t="s">
        <v>512</v>
      </c>
      <c r="Z333" s="13">
        <v>44</v>
      </c>
    </row>
    <row r="334" spans="1:26" ht="26.25" customHeight="1" x14ac:dyDescent="0.25">
      <c r="A334" t="s">
        <v>1327</v>
      </c>
      <c r="B334" t="str">
        <f t="shared" si="42"/>
        <v>3.11.2.3.9</v>
      </c>
      <c r="C334" t="str">
        <f t="shared" si="41"/>
        <v>Berubah</v>
      </c>
      <c r="D334" t="str">
        <f t="shared" si="43"/>
        <v>1.3.3.01.02.03.009</v>
      </c>
      <c r="E334" s="12" t="s">
        <v>940</v>
      </c>
      <c r="F334" s="4">
        <v>1</v>
      </c>
      <c r="G334" s="4">
        <v>3</v>
      </c>
      <c r="H334" s="4">
        <v>3</v>
      </c>
      <c r="I334" s="5" t="s">
        <v>10</v>
      </c>
      <c r="J334" s="5" t="s">
        <v>24</v>
      </c>
      <c r="K334" s="5" t="s">
        <v>48</v>
      </c>
      <c r="L334" s="5" t="s">
        <v>37</v>
      </c>
      <c r="M334" s="6" t="s">
        <v>304</v>
      </c>
      <c r="N334" s="6" t="str">
        <f t="shared" si="38"/>
        <v>Rumah Negara Golongan III Tipe C Darurat</v>
      </c>
      <c r="O334" t="b">
        <f t="shared" si="39"/>
        <v>0</v>
      </c>
      <c r="Q334" s="12" t="s">
        <v>940</v>
      </c>
      <c r="R334" s="27">
        <v>3</v>
      </c>
      <c r="S334" s="28">
        <v>11</v>
      </c>
      <c r="T334" s="28">
        <v>2</v>
      </c>
      <c r="U334" s="28">
        <v>3</v>
      </c>
      <c r="V334" s="28">
        <v>9</v>
      </c>
      <c r="W334" s="11" t="s">
        <v>554</v>
      </c>
      <c r="X334" t="str">
        <f t="shared" si="40"/>
        <v>Rumah Negara Golongan III Type C Darurat</v>
      </c>
      <c r="Y334" s="13" t="s">
        <v>512</v>
      </c>
      <c r="Z334" s="13">
        <v>45</v>
      </c>
    </row>
    <row r="335" spans="1:26" ht="26.25" customHeight="1" x14ac:dyDescent="0.25">
      <c r="A335" t="s">
        <v>1328</v>
      </c>
      <c r="B335" t="str">
        <f t="shared" si="42"/>
        <v>3.11.2.3.10</v>
      </c>
      <c r="C335" t="str">
        <f t="shared" si="41"/>
        <v>Berubah</v>
      </c>
      <c r="D335" t="str">
        <f t="shared" si="43"/>
        <v>1.3.3.01.02.03.010</v>
      </c>
      <c r="E335" s="12" t="s">
        <v>941</v>
      </c>
      <c r="F335" s="4">
        <v>1</v>
      </c>
      <c r="G335" s="4">
        <v>3</v>
      </c>
      <c r="H335" s="4">
        <v>3</v>
      </c>
      <c r="I335" s="5" t="s">
        <v>10</v>
      </c>
      <c r="J335" s="5" t="s">
        <v>24</v>
      </c>
      <c r="K335" s="5" t="s">
        <v>48</v>
      </c>
      <c r="L335" s="5" t="s">
        <v>39</v>
      </c>
      <c r="M335" s="6" t="s">
        <v>305</v>
      </c>
      <c r="N335" s="6" t="str">
        <f t="shared" si="38"/>
        <v>Rumah Negara Golongan III Tipe D Permanen</v>
      </c>
      <c r="O335" t="b">
        <f t="shared" si="39"/>
        <v>0</v>
      </c>
      <c r="Q335" s="12" t="s">
        <v>941</v>
      </c>
      <c r="R335" s="27">
        <v>3</v>
      </c>
      <c r="S335" s="28">
        <v>11</v>
      </c>
      <c r="T335" s="28">
        <v>2</v>
      </c>
      <c r="U335" s="28">
        <v>3</v>
      </c>
      <c r="V335" s="28">
        <v>10</v>
      </c>
      <c r="W335" s="11" t="s">
        <v>555</v>
      </c>
      <c r="X335" t="str">
        <f t="shared" si="40"/>
        <v>Rumah Negara Golongan III Type D Permanen</v>
      </c>
      <c r="Y335" s="13" t="s">
        <v>512</v>
      </c>
      <c r="Z335" s="13">
        <v>46</v>
      </c>
    </row>
    <row r="336" spans="1:26" ht="26.25" customHeight="1" x14ac:dyDescent="0.25">
      <c r="A336" t="s">
        <v>1329</v>
      </c>
      <c r="B336" t="str">
        <f t="shared" si="42"/>
        <v>3.11.2.3.11</v>
      </c>
      <c r="C336" t="str">
        <f t="shared" si="41"/>
        <v>Berubah</v>
      </c>
      <c r="D336" t="str">
        <f t="shared" si="43"/>
        <v>1.3.3.01.02.03.011</v>
      </c>
      <c r="E336" s="12" t="s">
        <v>942</v>
      </c>
      <c r="F336" s="4">
        <v>1</v>
      </c>
      <c r="G336" s="4">
        <v>3</v>
      </c>
      <c r="H336" s="4">
        <v>3</v>
      </c>
      <c r="I336" s="5" t="s">
        <v>10</v>
      </c>
      <c r="J336" s="5" t="s">
        <v>24</v>
      </c>
      <c r="K336" s="5" t="s">
        <v>48</v>
      </c>
      <c r="L336" s="5" t="s">
        <v>41</v>
      </c>
      <c r="M336" s="6" t="s">
        <v>306</v>
      </c>
      <c r="N336" s="6" t="str">
        <f t="shared" si="38"/>
        <v>Rumah Negara Golongan III Tipe D Semi Permanen</v>
      </c>
      <c r="O336" t="b">
        <f t="shared" si="39"/>
        <v>0</v>
      </c>
      <c r="Q336" s="12" t="s">
        <v>942</v>
      </c>
      <c r="R336" s="27">
        <v>3</v>
      </c>
      <c r="S336" s="28">
        <v>11</v>
      </c>
      <c r="T336" s="28">
        <v>2</v>
      </c>
      <c r="U336" s="28">
        <v>3</v>
      </c>
      <c r="V336" s="28">
        <v>11</v>
      </c>
      <c r="W336" s="11" t="s">
        <v>556</v>
      </c>
      <c r="X336" t="str">
        <f t="shared" si="40"/>
        <v>Rumah Negara Golongan III TypeD Semi Permanen</v>
      </c>
      <c r="Y336" s="13" t="s">
        <v>512</v>
      </c>
      <c r="Z336" s="13">
        <v>47</v>
      </c>
    </row>
    <row r="337" spans="1:26" ht="26.25" customHeight="1" x14ac:dyDescent="0.25">
      <c r="A337" t="s">
        <v>1330</v>
      </c>
      <c r="B337" t="str">
        <f t="shared" si="42"/>
        <v>3.11.2.3.13</v>
      </c>
      <c r="C337" t="str">
        <f t="shared" si="41"/>
        <v>Berubah</v>
      </c>
      <c r="D337" t="str">
        <f t="shared" si="43"/>
        <v>1.3.3.01.02.03.012</v>
      </c>
      <c r="E337" s="12" t="s">
        <v>943</v>
      </c>
      <c r="F337" s="4">
        <v>1</v>
      </c>
      <c r="G337" s="4">
        <v>3</v>
      </c>
      <c r="H337" s="4">
        <v>3</v>
      </c>
      <c r="I337" s="5" t="s">
        <v>10</v>
      </c>
      <c r="J337" s="5" t="s">
        <v>24</v>
      </c>
      <c r="K337" s="5" t="s">
        <v>48</v>
      </c>
      <c r="L337" s="5" t="s">
        <v>43</v>
      </c>
      <c r="M337" s="6" t="s">
        <v>307</v>
      </c>
      <c r="N337" s="6" t="str">
        <f t="shared" si="38"/>
        <v>Rumah Negara Golongan III Tipe D Darurat</v>
      </c>
      <c r="O337" t="b">
        <f t="shared" si="39"/>
        <v>0</v>
      </c>
      <c r="Q337" s="12" t="s">
        <v>943</v>
      </c>
      <c r="R337" s="27">
        <v>3</v>
      </c>
      <c r="S337" s="28">
        <v>11</v>
      </c>
      <c r="T337" s="28">
        <v>2</v>
      </c>
      <c r="U337" s="28">
        <v>3</v>
      </c>
      <c r="V337" s="28">
        <v>13</v>
      </c>
      <c r="W337" s="11" t="s">
        <v>557</v>
      </c>
      <c r="X337" t="str">
        <f t="shared" si="40"/>
        <v>Rumah Negara Golongan III Type D Darurat</v>
      </c>
      <c r="Y337" s="13" t="s">
        <v>512</v>
      </c>
      <c r="Z337" s="13">
        <v>48</v>
      </c>
    </row>
    <row r="338" spans="1:26" ht="26.25" customHeight="1" x14ac:dyDescent="0.25">
      <c r="A338" t="s">
        <v>1331</v>
      </c>
      <c r="B338" t="str">
        <f t="shared" si="42"/>
        <v>3.11.2.3.14</v>
      </c>
      <c r="C338" t="str">
        <f t="shared" si="41"/>
        <v>Berubah</v>
      </c>
      <c r="D338" t="str">
        <f t="shared" si="43"/>
        <v>1.3.3.01.02.03.013</v>
      </c>
      <c r="E338" s="12" t="s">
        <v>944</v>
      </c>
      <c r="F338" s="4">
        <v>1</v>
      </c>
      <c r="G338" s="4">
        <v>3</v>
      </c>
      <c r="H338" s="4">
        <v>3</v>
      </c>
      <c r="I338" s="5" t="s">
        <v>10</v>
      </c>
      <c r="J338" s="5" t="s">
        <v>24</v>
      </c>
      <c r="K338" s="5" t="s">
        <v>48</v>
      </c>
      <c r="L338" s="5" t="s">
        <v>45</v>
      </c>
      <c r="M338" s="6" t="s">
        <v>308</v>
      </c>
      <c r="N338" s="6" t="str">
        <f t="shared" si="38"/>
        <v>Rumah Negara Golongan III Tipe E Permanen</v>
      </c>
      <c r="O338" t="b">
        <f t="shared" ref="O338:O369" si="44">M338=W338</f>
        <v>0</v>
      </c>
      <c r="Q338" s="12" t="s">
        <v>944</v>
      </c>
      <c r="R338" s="27">
        <v>3</v>
      </c>
      <c r="S338" s="28">
        <v>11</v>
      </c>
      <c r="T338" s="28">
        <v>2</v>
      </c>
      <c r="U338" s="28">
        <v>3</v>
      </c>
      <c r="V338" s="28">
        <v>14</v>
      </c>
      <c r="W338" s="11" t="s">
        <v>558</v>
      </c>
      <c r="X338" t="str">
        <f t="shared" si="40"/>
        <v>Rumah Negara Golongan III Type E Permanen</v>
      </c>
      <c r="Y338" s="13" t="s">
        <v>512</v>
      </c>
      <c r="Z338" s="13">
        <v>49</v>
      </c>
    </row>
    <row r="339" spans="1:26" ht="26.25" customHeight="1" x14ac:dyDescent="0.25">
      <c r="A339" t="s">
        <v>1332</v>
      </c>
      <c r="B339" t="str">
        <f t="shared" si="42"/>
        <v>3.11.2.3.15</v>
      </c>
      <c r="C339" t="str">
        <f t="shared" si="41"/>
        <v>Berubah</v>
      </c>
      <c r="D339" t="str">
        <f t="shared" si="43"/>
        <v>1.3.3.01.02.03.014</v>
      </c>
      <c r="E339" s="12" t="s">
        <v>945</v>
      </c>
      <c r="F339" s="4">
        <v>1</v>
      </c>
      <c r="G339" s="4">
        <v>3</v>
      </c>
      <c r="H339" s="4">
        <v>3</v>
      </c>
      <c r="I339" s="5" t="s">
        <v>10</v>
      </c>
      <c r="J339" s="5" t="s">
        <v>24</v>
      </c>
      <c r="K339" s="5" t="s">
        <v>48</v>
      </c>
      <c r="L339" s="5" t="s">
        <v>47</v>
      </c>
      <c r="M339" s="6" t="s">
        <v>309</v>
      </c>
      <c r="N339" s="6" t="str">
        <f t="shared" si="38"/>
        <v>Rumah Negara Golongan III Tipe E Semi Permanen</v>
      </c>
      <c r="O339" t="b">
        <f t="shared" si="44"/>
        <v>0</v>
      </c>
      <c r="Q339" s="12" t="s">
        <v>945</v>
      </c>
      <c r="R339" s="27">
        <v>3</v>
      </c>
      <c r="S339" s="28">
        <v>11</v>
      </c>
      <c r="T339" s="28">
        <v>2</v>
      </c>
      <c r="U339" s="28">
        <v>3</v>
      </c>
      <c r="V339" s="28">
        <v>15</v>
      </c>
      <c r="W339" s="11" t="s">
        <v>559</v>
      </c>
      <c r="X339" t="str">
        <f t="shared" si="40"/>
        <v>Rumah Negara Golongan III Type E Semi Permanen</v>
      </c>
      <c r="Y339" s="13" t="s">
        <v>512</v>
      </c>
      <c r="Z339" s="13">
        <v>50</v>
      </c>
    </row>
    <row r="340" spans="1:26" ht="26.25" customHeight="1" x14ac:dyDescent="0.25">
      <c r="A340" t="s">
        <v>1333</v>
      </c>
      <c r="B340" t="str">
        <f t="shared" si="42"/>
        <v>3.11.2.3.16</v>
      </c>
      <c r="C340" t="str">
        <f t="shared" si="41"/>
        <v>Berubah</v>
      </c>
      <c r="D340" t="str">
        <f t="shared" si="43"/>
        <v>1.3.3.01.02.03.015</v>
      </c>
      <c r="E340" s="12" t="s">
        <v>946</v>
      </c>
      <c r="F340" s="4">
        <v>1</v>
      </c>
      <c r="G340" s="4">
        <v>3</v>
      </c>
      <c r="H340" s="4">
        <v>3</v>
      </c>
      <c r="I340" s="5" t="s">
        <v>10</v>
      </c>
      <c r="J340" s="5" t="s">
        <v>24</v>
      </c>
      <c r="K340" s="5" t="s">
        <v>48</v>
      </c>
      <c r="L340" s="5" t="s">
        <v>82</v>
      </c>
      <c r="M340" s="6" t="s">
        <v>310</v>
      </c>
      <c r="N340" s="6" t="str">
        <f t="shared" si="38"/>
        <v>Rumah Negara Golongan III Tipe E Darurat</v>
      </c>
      <c r="O340" t="b">
        <f t="shared" si="44"/>
        <v>0</v>
      </c>
      <c r="Q340" s="12" t="s">
        <v>946</v>
      </c>
      <c r="R340" s="27">
        <v>3</v>
      </c>
      <c r="S340" s="28">
        <v>11</v>
      </c>
      <c r="T340" s="28">
        <v>2</v>
      </c>
      <c r="U340" s="28">
        <v>3</v>
      </c>
      <c r="V340" s="28">
        <v>16</v>
      </c>
      <c r="W340" s="11" t="s">
        <v>560</v>
      </c>
      <c r="X340" t="str">
        <f t="shared" si="40"/>
        <v>Rumah Negara Golongan III Type E Darurat</v>
      </c>
      <c r="Y340" s="13" t="s">
        <v>512</v>
      </c>
      <c r="Z340" s="13">
        <v>51</v>
      </c>
    </row>
    <row r="341" spans="1:26" ht="26.25" customHeight="1" x14ac:dyDescent="0.25">
      <c r="A341" t="s">
        <v>1334</v>
      </c>
      <c r="B341" t="str">
        <f t="shared" si="42"/>
        <v>3.11.2.3.17</v>
      </c>
      <c r="C341" t="str">
        <f t="shared" si="41"/>
        <v>Berubah</v>
      </c>
      <c r="D341" t="str">
        <f t="shared" si="43"/>
        <v>1.3.3.01.02.03.016</v>
      </c>
      <c r="E341" s="12" t="s">
        <v>947</v>
      </c>
      <c r="F341" s="4">
        <v>1</v>
      </c>
      <c r="G341" s="4">
        <v>3</v>
      </c>
      <c r="H341" s="4">
        <v>3</v>
      </c>
      <c r="I341" s="5" t="s">
        <v>10</v>
      </c>
      <c r="J341" s="5" t="s">
        <v>24</v>
      </c>
      <c r="K341" s="5" t="s">
        <v>48</v>
      </c>
      <c r="L341" s="5" t="s">
        <v>84</v>
      </c>
      <c r="M341" s="6" t="s">
        <v>23</v>
      </c>
      <c r="N341" s="6" t="str">
        <f t="shared" si="38"/>
        <v>Dst….</v>
      </c>
      <c r="O341" t="b">
        <f t="shared" si="44"/>
        <v>0</v>
      </c>
      <c r="Q341" s="12" t="s">
        <v>947</v>
      </c>
      <c r="R341" s="27">
        <v>3</v>
      </c>
      <c r="S341" s="28">
        <v>11</v>
      </c>
      <c r="T341" s="28">
        <v>2</v>
      </c>
      <c r="U341" s="28">
        <v>3</v>
      </c>
      <c r="V341" s="28">
        <v>17</v>
      </c>
      <c r="W341" s="11" t="s">
        <v>415</v>
      </c>
      <c r="X341" t="str">
        <f t="shared" si="40"/>
        <v>Lain-lain</v>
      </c>
      <c r="Y341" s="13" t="s">
        <v>512</v>
      </c>
      <c r="Z341" s="13">
        <v>52</v>
      </c>
    </row>
    <row r="342" spans="1:26" ht="26.25" customHeight="1" x14ac:dyDescent="0.25">
      <c r="A342" t="s">
        <v>1129</v>
      </c>
      <c r="B342" t="str">
        <f t="shared" si="42"/>
        <v>....</v>
      </c>
      <c r="C342" t="str">
        <f t="shared" si="41"/>
        <v>Bertambah</v>
      </c>
      <c r="D342" t="str">
        <f t="shared" si="43"/>
        <v>......</v>
      </c>
      <c r="E342" s="12" t="s">
        <v>948</v>
      </c>
      <c r="F342" s="4"/>
      <c r="G342" s="4"/>
      <c r="H342" s="4"/>
      <c r="I342" s="5"/>
      <c r="J342" s="5"/>
      <c r="K342" s="5"/>
      <c r="L342" s="5"/>
      <c r="M342" s="6"/>
      <c r="N342" s="6" t="str">
        <f t="shared" si="38"/>
        <v/>
      </c>
      <c r="O342" t="b">
        <f t="shared" si="44"/>
        <v>1</v>
      </c>
      <c r="Q342" s="12" t="s">
        <v>948</v>
      </c>
      <c r="R342" s="27"/>
      <c r="S342" s="28"/>
      <c r="T342" s="28"/>
      <c r="U342" s="28"/>
      <c r="V342" s="28"/>
      <c r="W342" s="11"/>
      <c r="X342" t="str">
        <f t="shared" si="40"/>
        <v/>
      </c>
      <c r="Y342" s="13"/>
      <c r="Z342" s="13"/>
    </row>
    <row r="343" spans="1:26" ht="26.25" customHeight="1" x14ac:dyDescent="0.25">
      <c r="A343" t="s">
        <v>1335</v>
      </c>
      <c r="B343" t="str">
        <f t="shared" si="42"/>
        <v>3.11.2.4.*</v>
      </c>
      <c r="C343" t="str">
        <f t="shared" si="41"/>
        <v>Berubah</v>
      </c>
      <c r="D343" t="str">
        <f t="shared" si="43"/>
        <v>1.3.3.01.02.04.</v>
      </c>
      <c r="E343" s="12" t="s">
        <v>949</v>
      </c>
      <c r="F343" s="4">
        <v>1</v>
      </c>
      <c r="G343" s="4">
        <v>3</v>
      </c>
      <c r="H343" s="4">
        <v>3</v>
      </c>
      <c r="I343" s="5" t="s">
        <v>10</v>
      </c>
      <c r="J343" s="5" t="s">
        <v>24</v>
      </c>
      <c r="K343" s="5" t="s">
        <v>54</v>
      </c>
      <c r="L343" s="5"/>
      <c r="M343" s="6" t="s">
        <v>311</v>
      </c>
      <c r="N343" s="6" t="str">
        <f t="shared" si="38"/>
        <v>MESS/WISMA/BUNGALOW/TEMPAT PERISTIRAHATAN</v>
      </c>
      <c r="O343" t="b">
        <f t="shared" si="44"/>
        <v>0</v>
      </c>
      <c r="Q343" s="12" t="s">
        <v>949</v>
      </c>
      <c r="R343" s="27">
        <v>3</v>
      </c>
      <c r="S343" s="28">
        <v>11</v>
      </c>
      <c r="T343" s="28">
        <v>2</v>
      </c>
      <c r="U343" s="28">
        <v>4</v>
      </c>
      <c r="V343" s="28" t="s">
        <v>411</v>
      </c>
      <c r="W343" s="11" t="s">
        <v>561</v>
      </c>
      <c r="X343" t="str">
        <f t="shared" si="40"/>
        <v>Mess/Wisma/Bungalaw/Tempat Peristirahatan</v>
      </c>
      <c r="Y343" s="13" t="s">
        <v>512</v>
      </c>
      <c r="Z343" s="13">
        <v>53</v>
      </c>
    </row>
    <row r="344" spans="1:26" ht="26.25" customHeight="1" x14ac:dyDescent="0.25">
      <c r="A344" t="s">
        <v>1336</v>
      </c>
      <c r="B344" t="str">
        <f t="shared" si="42"/>
        <v>3.11.2.4.1</v>
      </c>
      <c r="C344" t="str">
        <f t="shared" si="41"/>
        <v>Berubah</v>
      </c>
      <c r="D344" t="str">
        <f t="shared" si="43"/>
        <v>1.3.3.01.02.04.001</v>
      </c>
      <c r="E344" s="12" t="s">
        <v>950</v>
      </c>
      <c r="F344" s="4">
        <v>1</v>
      </c>
      <c r="G344" s="4">
        <v>3</v>
      </c>
      <c r="H344" s="4">
        <v>3</v>
      </c>
      <c r="I344" s="5" t="s">
        <v>10</v>
      </c>
      <c r="J344" s="5" t="s">
        <v>24</v>
      </c>
      <c r="K344" s="5" t="s">
        <v>54</v>
      </c>
      <c r="L344" s="5" t="s">
        <v>14</v>
      </c>
      <c r="M344" s="6" t="s">
        <v>312</v>
      </c>
      <c r="N344" s="6" t="str">
        <f t="shared" si="38"/>
        <v>Mess/Wisma/Bungalow/Tempat Peristirahatan Permanen</v>
      </c>
      <c r="O344" t="b">
        <f t="shared" si="44"/>
        <v>0</v>
      </c>
      <c r="Q344" s="12" t="s">
        <v>950</v>
      </c>
      <c r="R344" s="27">
        <v>3</v>
      </c>
      <c r="S344" s="28">
        <v>11</v>
      </c>
      <c r="T344" s="28">
        <v>2</v>
      </c>
      <c r="U344" s="28">
        <v>4</v>
      </c>
      <c r="V344" s="28">
        <v>1</v>
      </c>
      <c r="W344" s="11" t="s">
        <v>562</v>
      </c>
      <c r="X344" t="str">
        <f t="shared" si="40"/>
        <v>Mess/Wisma/Bungalau/Tempat Peristirahatan P</v>
      </c>
      <c r="Y344" s="13" t="s">
        <v>512</v>
      </c>
      <c r="Z344" s="13">
        <v>54</v>
      </c>
    </row>
    <row r="345" spans="1:26" ht="26.25" customHeight="1" x14ac:dyDescent="0.25">
      <c r="A345" t="s">
        <v>1337</v>
      </c>
      <c r="B345" t="str">
        <f t="shared" si="42"/>
        <v>3.11.2.4.2</v>
      </c>
      <c r="C345" t="str">
        <f t="shared" si="41"/>
        <v>Berubah</v>
      </c>
      <c r="D345" t="str">
        <f t="shared" si="43"/>
        <v>1.3.3.01.02.04.002</v>
      </c>
      <c r="E345" s="12" t="s">
        <v>951</v>
      </c>
      <c r="F345" s="4">
        <v>1</v>
      </c>
      <c r="G345" s="4">
        <v>3</v>
      </c>
      <c r="H345" s="4">
        <v>3</v>
      </c>
      <c r="I345" s="5" t="s">
        <v>10</v>
      </c>
      <c r="J345" s="5" t="s">
        <v>24</v>
      </c>
      <c r="K345" s="5" t="s">
        <v>54</v>
      </c>
      <c r="L345" s="5" t="s">
        <v>16</v>
      </c>
      <c r="M345" s="6" t="s">
        <v>313</v>
      </c>
      <c r="N345" s="6" t="str">
        <f t="shared" si="38"/>
        <v>Mess/Wisma/Bungalow/Tempat Peristirahatan Semi Permanen</v>
      </c>
      <c r="O345" t="b">
        <f t="shared" si="44"/>
        <v>0</v>
      </c>
      <c r="Q345" s="12" t="s">
        <v>951</v>
      </c>
      <c r="R345" s="27">
        <v>3</v>
      </c>
      <c r="S345" s="28">
        <v>11</v>
      </c>
      <c r="T345" s="28">
        <v>2</v>
      </c>
      <c r="U345" s="28">
        <v>4</v>
      </c>
      <c r="V345" s="28">
        <v>2</v>
      </c>
      <c r="W345" s="11" t="s">
        <v>563</v>
      </c>
      <c r="X345" t="str">
        <f t="shared" si="40"/>
        <v>Mess/Wisma/Bungalau/Tempat Peristirahatan SP</v>
      </c>
      <c r="Y345" s="13" t="s">
        <v>512</v>
      </c>
      <c r="Z345" s="13">
        <v>55</v>
      </c>
    </row>
    <row r="346" spans="1:26" ht="26.25" customHeight="1" x14ac:dyDescent="0.25">
      <c r="A346" t="s">
        <v>1338</v>
      </c>
      <c r="B346" t="str">
        <f t="shared" si="42"/>
        <v>3.11.2.4.3</v>
      </c>
      <c r="C346" t="str">
        <f t="shared" si="41"/>
        <v>Berubah</v>
      </c>
      <c r="D346" t="str">
        <f t="shared" si="43"/>
        <v>1.3.3.01.02.04.003</v>
      </c>
      <c r="E346" s="12" t="s">
        <v>952</v>
      </c>
      <c r="F346" s="4">
        <v>1</v>
      </c>
      <c r="G346" s="4">
        <v>3</v>
      </c>
      <c r="H346" s="4">
        <v>3</v>
      </c>
      <c r="I346" s="5" t="s">
        <v>10</v>
      </c>
      <c r="J346" s="5" t="s">
        <v>24</v>
      </c>
      <c r="K346" s="5" t="s">
        <v>54</v>
      </c>
      <c r="L346" s="5" t="s">
        <v>18</v>
      </c>
      <c r="M346" s="6" t="s">
        <v>314</v>
      </c>
      <c r="N346" s="6" t="str">
        <f t="shared" si="38"/>
        <v>Mess/Wisma/Bungalow/Tempat Peristirahatan Darurat</v>
      </c>
      <c r="O346" t="b">
        <f t="shared" si="44"/>
        <v>0</v>
      </c>
      <c r="Q346" s="12" t="s">
        <v>952</v>
      </c>
      <c r="R346" s="27">
        <v>3</v>
      </c>
      <c r="S346" s="28">
        <v>11</v>
      </c>
      <c r="T346" s="28">
        <v>2</v>
      </c>
      <c r="U346" s="28">
        <v>4</v>
      </c>
      <c r="V346" s="28">
        <v>3</v>
      </c>
      <c r="W346" s="11" t="s">
        <v>564</v>
      </c>
      <c r="X346" t="str">
        <f t="shared" si="40"/>
        <v>Mess/Wisma/Bungalaw/Tempat Peristirahatan D</v>
      </c>
      <c r="Y346" s="13" t="s">
        <v>512</v>
      </c>
      <c r="Z346" s="13">
        <v>56</v>
      </c>
    </row>
    <row r="347" spans="1:26" ht="26.25" customHeight="1" x14ac:dyDescent="0.25">
      <c r="A347" t="s">
        <v>1339</v>
      </c>
      <c r="B347" t="str">
        <f t="shared" si="42"/>
        <v>3.11.2.4.4</v>
      </c>
      <c r="C347" t="str">
        <f t="shared" si="41"/>
        <v>Berubah</v>
      </c>
      <c r="D347" t="str">
        <f t="shared" si="43"/>
        <v>1.3.3.01.02.04.004</v>
      </c>
      <c r="E347" s="12" t="s">
        <v>953</v>
      </c>
      <c r="F347" s="4">
        <v>1</v>
      </c>
      <c r="G347" s="4">
        <v>3</v>
      </c>
      <c r="H347" s="4">
        <v>3</v>
      </c>
      <c r="I347" s="5" t="s">
        <v>10</v>
      </c>
      <c r="J347" s="5" t="s">
        <v>24</v>
      </c>
      <c r="K347" s="5" t="s">
        <v>54</v>
      </c>
      <c r="L347" s="5" t="s">
        <v>20</v>
      </c>
      <c r="M347" s="6" t="s">
        <v>23</v>
      </c>
      <c r="N347" s="6" t="str">
        <f t="shared" si="38"/>
        <v>Dst….</v>
      </c>
      <c r="O347" t="b">
        <f t="shared" si="44"/>
        <v>0</v>
      </c>
      <c r="Q347" s="12" t="s">
        <v>953</v>
      </c>
      <c r="R347" s="27">
        <v>3</v>
      </c>
      <c r="S347" s="28">
        <v>11</v>
      </c>
      <c r="T347" s="28">
        <v>2</v>
      </c>
      <c r="U347" s="28">
        <v>4</v>
      </c>
      <c r="V347" s="28">
        <v>4</v>
      </c>
      <c r="W347" s="11" t="s">
        <v>415</v>
      </c>
      <c r="X347" t="str">
        <f t="shared" si="40"/>
        <v>Lain-lain</v>
      </c>
      <c r="Y347" s="13" t="s">
        <v>512</v>
      </c>
      <c r="Z347" s="13">
        <v>57</v>
      </c>
    </row>
    <row r="348" spans="1:26" ht="26.25" customHeight="1" x14ac:dyDescent="0.25">
      <c r="A348" t="s">
        <v>1129</v>
      </c>
      <c r="B348" t="str">
        <f t="shared" si="42"/>
        <v>....</v>
      </c>
      <c r="C348" t="str">
        <f t="shared" si="41"/>
        <v>Bertambah</v>
      </c>
      <c r="D348" t="str">
        <f t="shared" si="43"/>
        <v>......</v>
      </c>
      <c r="E348" s="12" t="s">
        <v>954</v>
      </c>
      <c r="F348" s="4"/>
      <c r="G348" s="4"/>
      <c r="H348" s="4"/>
      <c r="I348" s="5"/>
      <c r="J348" s="5"/>
      <c r="K348" s="5"/>
      <c r="L348" s="5"/>
      <c r="M348" s="6"/>
      <c r="N348" s="6" t="str">
        <f t="shared" si="38"/>
        <v/>
      </c>
      <c r="O348" t="b">
        <f t="shared" si="44"/>
        <v>1</v>
      </c>
      <c r="Q348" s="12" t="s">
        <v>954</v>
      </c>
      <c r="R348" s="27"/>
      <c r="S348" s="28"/>
      <c r="T348" s="28"/>
      <c r="U348" s="28"/>
      <c r="V348" s="28"/>
      <c r="W348" s="11"/>
      <c r="X348" t="str">
        <f t="shared" si="40"/>
        <v/>
      </c>
      <c r="Y348" s="13"/>
      <c r="Z348" s="13"/>
    </row>
    <row r="349" spans="1:26" ht="26.25" customHeight="1" x14ac:dyDescent="0.25">
      <c r="A349" t="s">
        <v>1340</v>
      </c>
      <c r="B349" t="str">
        <f t="shared" si="42"/>
        <v>3.11.2.5.*</v>
      </c>
      <c r="C349" t="str">
        <f t="shared" si="41"/>
        <v>Berubah</v>
      </c>
      <c r="D349" t="str">
        <f t="shared" si="43"/>
        <v>1.3.3.01.02.05.</v>
      </c>
      <c r="E349" s="12" t="s">
        <v>955</v>
      </c>
      <c r="F349" s="4">
        <v>1</v>
      </c>
      <c r="G349" s="4">
        <v>3</v>
      </c>
      <c r="H349" s="4">
        <v>3</v>
      </c>
      <c r="I349" s="5" t="s">
        <v>10</v>
      </c>
      <c r="J349" s="5" t="s">
        <v>24</v>
      </c>
      <c r="K349" s="5" t="s">
        <v>61</v>
      </c>
      <c r="L349" s="5"/>
      <c r="M349" s="6" t="s">
        <v>315</v>
      </c>
      <c r="N349" s="6" t="str">
        <f t="shared" si="38"/>
        <v>ASRAMA</v>
      </c>
      <c r="O349" t="b">
        <f t="shared" si="44"/>
        <v>0</v>
      </c>
      <c r="Q349" s="12" t="s">
        <v>955</v>
      </c>
      <c r="R349" s="27">
        <v>3</v>
      </c>
      <c r="S349" s="28">
        <v>11</v>
      </c>
      <c r="T349" s="28">
        <v>2</v>
      </c>
      <c r="U349" s="28">
        <v>5</v>
      </c>
      <c r="V349" s="28" t="s">
        <v>411</v>
      </c>
      <c r="W349" s="11" t="s">
        <v>565</v>
      </c>
      <c r="X349" t="str">
        <f t="shared" si="40"/>
        <v>Asrama</v>
      </c>
      <c r="Y349" s="13" t="s">
        <v>512</v>
      </c>
      <c r="Z349" s="13">
        <v>58</v>
      </c>
    </row>
    <row r="350" spans="1:26" ht="26.25" customHeight="1" x14ac:dyDescent="0.25">
      <c r="A350" t="s">
        <v>1341</v>
      </c>
      <c r="B350" t="str">
        <f t="shared" si="42"/>
        <v>3.11.2.5.1</v>
      </c>
      <c r="C350" t="str">
        <f t="shared" si="41"/>
        <v>Berubah</v>
      </c>
      <c r="D350" t="str">
        <f t="shared" si="43"/>
        <v>1.3.3.01.02.05.001</v>
      </c>
      <c r="E350" s="12" t="s">
        <v>956</v>
      </c>
      <c r="F350" s="4">
        <v>1</v>
      </c>
      <c r="G350" s="4">
        <v>3</v>
      </c>
      <c r="H350" s="4">
        <v>3</v>
      </c>
      <c r="I350" s="5" t="s">
        <v>10</v>
      </c>
      <c r="J350" s="5" t="s">
        <v>24</v>
      </c>
      <c r="K350" s="5" t="s">
        <v>61</v>
      </c>
      <c r="L350" s="5" t="s">
        <v>14</v>
      </c>
      <c r="M350" s="6" t="s">
        <v>316</v>
      </c>
      <c r="N350" s="6" t="str">
        <f t="shared" si="38"/>
        <v>Asrama Permanen</v>
      </c>
      <c r="O350" t="b">
        <f t="shared" si="44"/>
        <v>1</v>
      </c>
      <c r="Q350" s="12" t="s">
        <v>956</v>
      </c>
      <c r="R350" s="27">
        <v>3</v>
      </c>
      <c r="S350" s="28">
        <v>11</v>
      </c>
      <c r="T350" s="28">
        <v>2</v>
      </c>
      <c r="U350" s="28">
        <v>5</v>
      </c>
      <c r="V350" s="28">
        <v>1</v>
      </c>
      <c r="W350" s="11" t="s">
        <v>316</v>
      </c>
      <c r="X350" t="str">
        <f t="shared" si="40"/>
        <v>Asrama Permanen</v>
      </c>
      <c r="Y350" s="13" t="s">
        <v>512</v>
      </c>
      <c r="Z350" s="13">
        <v>59</v>
      </c>
    </row>
    <row r="351" spans="1:26" ht="26.25" customHeight="1" x14ac:dyDescent="0.25">
      <c r="A351" t="s">
        <v>1342</v>
      </c>
      <c r="B351" t="str">
        <f t="shared" si="42"/>
        <v>3.11.2.5.2</v>
      </c>
      <c r="C351" t="str">
        <f t="shared" si="41"/>
        <v>Berubah</v>
      </c>
      <c r="D351" t="str">
        <f t="shared" si="43"/>
        <v>1.3.3.01.02.05.002</v>
      </c>
      <c r="E351" s="12" t="s">
        <v>957</v>
      </c>
      <c r="F351" s="4">
        <v>1</v>
      </c>
      <c r="G351" s="4">
        <v>3</v>
      </c>
      <c r="H351" s="4">
        <v>3</v>
      </c>
      <c r="I351" s="5" t="s">
        <v>10</v>
      </c>
      <c r="J351" s="5" t="s">
        <v>24</v>
      </c>
      <c r="K351" s="5" t="s">
        <v>61</v>
      </c>
      <c r="L351" s="5" t="s">
        <v>16</v>
      </c>
      <c r="M351" s="6" t="s">
        <v>317</v>
      </c>
      <c r="N351" s="6" t="str">
        <f t="shared" si="38"/>
        <v>Asrama Semi Permanen</v>
      </c>
      <c r="O351" t="b">
        <f t="shared" si="44"/>
        <v>0</v>
      </c>
      <c r="Q351" s="12" t="s">
        <v>957</v>
      </c>
      <c r="R351" s="27">
        <v>3</v>
      </c>
      <c r="S351" s="28">
        <v>11</v>
      </c>
      <c r="T351" s="28">
        <v>2</v>
      </c>
      <c r="U351" s="28">
        <v>5</v>
      </c>
      <c r="V351" s="28">
        <v>2</v>
      </c>
      <c r="W351" s="11" t="s">
        <v>566</v>
      </c>
      <c r="X351" t="str">
        <f t="shared" si="40"/>
        <v>Asmara Semi Permanen</v>
      </c>
      <c r="Y351" s="13" t="s">
        <v>512</v>
      </c>
      <c r="Z351" s="13">
        <v>60</v>
      </c>
    </row>
    <row r="352" spans="1:26" ht="26.25" customHeight="1" x14ac:dyDescent="0.25">
      <c r="A352" t="s">
        <v>1343</v>
      </c>
      <c r="B352" t="str">
        <f t="shared" si="42"/>
        <v>3.11.2.5.3</v>
      </c>
      <c r="C352" t="str">
        <f t="shared" si="41"/>
        <v>Berubah</v>
      </c>
      <c r="D352" t="str">
        <f t="shared" si="43"/>
        <v>1.3.3.01.02.05.003</v>
      </c>
      <c r="E352" s="12" t="s">
        <v>958</v>
      </c>
      <c r="F352" s="4">
        <v>1</v>
      </c>
      <c r="G352" s="4">
        <v>3</v>
      </c>
      <c r="H352" s="4">
        <v>3</v>
      </c>
      <c r="I352" s="5" t="s">
        <v>10</v>
      </c>
      <c r="J352" s="5" t="s">
        <v>24</v>
      </c>
      <c r="K352" s="5" t="s">
        <v>61</v>
      </c>
      <c r="L352" s="5" t="s">
        <v>18</v>
      </c>
      <c r="M352" s="6" t="s">
        <v>318</v>
      </c>
      <c r="N352" s="6" t="str">
        <f t="shared" si="38"/>
        <v>Asrama Darurat</v>
      </c>
      <c r="O352" t="b">
        <f t="shared" si="44"/>
        <v>0</v>
      </c>
      <c r="Q352" s="12" t="s">
        <v>958</v>
      </c>
      <c r="R352" s="27">
        <v>3</v>
      </c>
      <c r="S352" s="28">
        <v>11</v>
      </c>
      <c r="T352" s="28">
        <v>2</v>
      </c>
      <c r="U352" s="28">
        <v>5</v>
      </c>
      <c r="V352" s="28">
        <v>3</v>
      </c>
      <c r="W352" s="11" t="s">
        <v>567</v>
      </c>
      <c r="X352" t="str">
        <f t="shared" si="40"/>
        <v>Asmara Darurat</v>
      </c>
      <c r="Y352" s="13" t="s">
        <v>512</v>
      </c>
      <c r="Z352" s="13">
        <v>61</v>
      </c>
    </row>
    <row r="353" spans="1:26" ht="26.25" customHeight="1" x14ac:dyDescent="0.25">
      <c r="A353" t="s">
        <v>1129</v>
      </c>
      <c r="B353" t="str">
        <f t="shared" si="42"/>
        <v>....</v>
      </c>
      <c r="C353" t="str">
        <f t="shared" si="41"/>
        <v>Bertambah</v>
      </c>
      <c r="D353" t="str">
        <f t="shared" si="43"/>
        <v>1.3.3.01.02.05.004</v>
      </c>
      <c r="E353" s="12" t="s">
        <v>959</v>
      </c>
      <c r="F353" s="17">
        <v>1</v>
      </c>
      <c r="G353" s="17">
        <v>3</v>
      </c>
      <c r="H353" s="17">
        <v>3</v>
      </c>
      <c r="I353" s="18" t="s">
        <v>10</v>
      </c>
      <c r="J353" s="18" t="s">
        <v>24</v>
      </c>
      <c r="K353" s="18" t="s">
        <v>61</v>
      </c>
      <c r="L353" s="18" t="s">
        <v>20</v>
      </c>
      <c r="M353" s="19" t="s">
        <v>319</v>
      </c>
      <c r="N353" s="19" t="str">
        <f t="shared" si="38"/>
        <v>Bangunan Ramah Bencana</v>
      </c>
      <c r="O353" t="b">
        <f t="shared" si="44"/>
        <v>0</v>
      </c>
      <c r="Q353" s="12" t="s">
        <v>959</v>
      </c>
      <c r="R353" s="29"/>
      <c r="S353" s="29"/>
      <c r="T353" s="29"/>
      <c r="U353" s="29"/>
      <c r="V353" s="29"/>
      <c r="W353" s="10"/>
      <c r="X353" t="str">
        <f t="shared" si="40"/>
        <v/>
      </c>
      <c r="Y353" s="10"/>
      <c r="Z353" s="10"/>
    </row>
    <row r="354" spans="1:26" ht="26.25" customHeight="1" x14ac:dyDescent="0.25">
      <c r="A354" t="s">
        <v>1344</v>
      </c>
      <c r="B354" t="str">
        <f t="shared" si="42"/>
        <v>3.11.2.5.4</v>
      </c>
      <c r="C354" t="str">
        <f t="shared" si="41"/>
        <v>Berubah</v>
      </c>
      <c r="D354" t="str">
        <f t="shared" si="43"/>
        <v>1.3.3.01.02.05.005</v>
      </c>
      <c r="E354" s="12" t="s">
        <v>960</v>
      </c>
      <c r="F354" s="4">
        <v>1</v>
      </c>
      <c r="G354" s="4">
        <v>3</v>
      </c>
      <c r="H354" s="4">
        <v>3</v>
      </c>
      <c r="I354" s="5" t="s">
        <v>10</v>
      </c>
      <c r="J354" s="5" t="s">
        <v>24</v>
      </c>
      <c r="K354" s="5" t="s">
        <v>61</v>
      </c>
      <c r="L354" s="5" t="s">
        <v>22</v>
      </c>
      <c r="M354" s="6" t="s">
        <v>23</v>
      </c>
      <c r="N354" s="6" t="str">
        <f t="shared" si="38"/>
        <v>Dst….</v>
      </c>
      <c r="O354" t="b">
        <f t="shared" si="44"/>
        <v>0</v>
      </c>
      <c r="Q354" s="12" t="s">
        <v>960</v>
      </c>
      <c r="R354" s="27">
        <v>3</v>
      </c>
      <c r="S354" s="28">
        <v>11</v>
      </c>
      <c r="T354" s="28">
        <v>2</v>
      </c>
      <c r="U354" s="28">
        <v>5</v>
      </c>
      <c r="V354" s="28">
        <v>4</v>
      </c>
      <c r="W354" s="11" t="s">
        <v>415</v>
      </c>
      <c r="X354" t="str">
        <f t="shared" si="40"/>
        <v>Lain-lain</v>
      </c>
      <c r="Y354" s="13" t="s">
        <v>512</v>
      </c>
      <c r="Z354" s="13">
        <v>62</v>
      </c>
    </row>
    <row r="355" spans="1:26" ht="26.25" customHeight="1" x14ac:dyDescent="0.25">
      <c r="A355" t="s">
        <v>1345</v>
      </c>
      <c r="B355" t="str">
        <f t="shared" si="42"/>
        <v>3.11.2.6.*</v>
      </c>
      <c r="C355" t="str">
        <f t="shared" si="41"/>
        <v>Berubah</v>
      </c>
      <c r="D355" t="str">
        <f t="shared" si="43"/>
        <v>1.3.3.01.02.06.</v>
      </c>
      <c r="E355" s="12" t="s">
        <v>961</v>
      </c>
      <c r="F355" s="4">
        <v>1</v>
      </c>
      <c r="G355" s="4">
        <v>3</v>
      </c>
      <c r="H355" s="4">
        <v>3</v>
      </c>
      <c r="I355" s="5" t="s">
        <v>10</v>
      </c>
      <c r="J355" s="5" t="s">
        <v>24</v>
      </c>
      <c r="K355" s="5" t="s">
        <v>66</v>
      </c>
      <c r="L355" s="5"/>
      <c r="M355" s="6" t="s">
        <v>320</v>
      </c>
      <c r="N355" s="6" t="str">
        <f t="shared" si="38"/>
        <v>HOTEL</v>
      </c>
      <c r="O355" t="b">
        <f t="shared" si="44"/>
        <v>0</v>
      </c>
      <c r="Q355" s="12" t="s">
        <v>961</v>
      </c>
      <c r="R355" s="27">
        <v>3</v>
      </c>
      <c r="S355" s="28">
        <v>11</v>
      </c>
      <c r="T355" s="28">
        <v>2</v>
      </c>
      <c r="U355" s="28">
        <v>6</v>
      </c>
      <c r="V355" s="28" t="s">
        <v>411</v>
      </c>
      <c r="W355" s="11" t="s">
        <v>568</v>
      </c>
      <c r="X355" t="str">
        <f t="shared" si="40"/>
        <v>Hotel</v>
      </c>
      <c r="Y355" s="13" t="s">
        <v>512</v>
      </c>
      <c r="Z355" s="13">
        <v>63</v>
      </c>
    </row>
    <row r="356" spans="1:26" ht="26.25" customHeight="1" x14ac:dyDescent="0.25">
      <c r="A356" t="s">
        <v>1346</v>
      </c>
      <c r="B356" t="str">
        <f t="shared" si="42"/>
        <v>3.11.2.6.1</v>
      </c>
      <c r="C356" t="str">
        <f t="shared" si="41"/>
        <v>Berubah</v>
      </c>
      <c r="D356" t="str">
        <f t="shared" si="43"/>
        <v>1.3.3.01.02.06.001</v>
      </c>
      <c r="E356" s="12" t="s">
        <v>962</v>
      </c>
      <c r="F356" s="4">
        <v>1</v>
      </c>
      <c r="G356" s="4">
        <v>3</v>
      </c>
      <c r="H356" s="4">
        <v>3</v>
      </c>
      <c r="I356" s="5" t="s">
        <v>10</v>
      </c>
      <c r="J356" s="5" t="s">
        <v>24</v>
      </c>
      <c r="K356" s="5" t="s">
        <v>66</v>
      </c>
      <c r="L356" s="5" t="s">
        <v>14</v>
      </c>
      <c r="M356" s="6" t="s">
        <v>321</v>
      </c>
      <c r="N356" s="6" t="str">
        <f t="shared" si="38"/>
        <v>Hotel Permanen</v>
      </c>
      <c r="O356" t="b">
        <f t="shared" si="44"/>
        <v>0</v>
      </c>
      <c r="Q356" s="12" t="s">
        <v>962</v>
      </c>
      <c r="R356" s="27">
        <v>3</v>
      </c>
      <c r="S356" s="28">
        <v>11</v>
      </c>
      <c r="T356" s="28">
        <v>2</v>
      </c>
      <c r="U356" s="28">
        <v>6</v>
      </c>
      <c r="V356" s="28">
        <v>1</v>
      </c>
      <c r="W356" s="11" t="s">
        <v>569</v>
      </c>
      <c r="X356" t="str">
        <f t="shared" si="40"/>
        <v>Hotel Permanen</v>
      </c>
      <c r="Y356" s="13" t="s">
        <v>512</v>
      </c>
      <c r="Z356" s="13">
        <v>64</v>
      </c>
    </row>
    <row r="357" spans="1:26" ht="26.25" customHeight="1" x14ac:dyDescent="0.25">
      <c r="A357" t="s">
        <v>1347</v>
      </c>
      <c r="B357" t="str">
        <f t="shared" si="42"/>
        <v>3.11.2.6.2</v>
      </c>
      <c r="C357" t="str">
        <f t="shared" si="41"/>
        <v>Berubah</v>
      </c>
      <c r="D357" t="str">
        <f t="shared" si="43"/>
        <v>1.3.3.01.02.06.002</v>
      </c>
      <c r="E357" s="12" t="s">
        <v>963</v>
      </c>
      <c r="F357" s="4">
        <v>1</v>
      </c>
      <c r="G357" s="4">
        <v>3</v>
      </c>
      <c r="H357" s="4">
        <v>3</v>
      </c>
      <c r="I357" s="5" t="s">
        <v>10</v>
      </c>
      <c r="J357" s="5" t="s">
        <v>24</v>
      </c>
      <c r="K357" s="5" t="s">
        <v>66</v>
      </c>
      <c r="L357" s="5" t="s">
        <v>16</v>
      </c>
      <c r="M357" s="6" t="s">
        <v>322</v>
      </c>
      <c r="N357" s="6" t="str">
        <f t="shared" si="38"/>
        <v>Hotel Semi Permanen</v>
      </c>
      <c r="O357" t="b">
        <f t="shared" si="44"/>
        <v>1</v>
      </c>
      <c r="Q357" s="12" t="s">
        <v>963</v>
      </c>
      <c r="R357" s="27">
        <v>3</v>
      </c>
      <c r="S357" s="28">
        <v>11</v>
      </c>
      <c r="T357" s="28">
        <v>2</v>
      </c>
      <c r="U357" s="28">
        <v>6</v>
      </c>
      <c r="V357" s="28">
        <v>2</v>
      </c>
      <c r="W357" s="11" t="s">
        <v>322</v>
      </c>
      <c r="X357" t="str">
        <f t="shared" si="40"/>
        <v>Hotel Semi Permanen</v>
      </c>
      <c r="Y357" s="13" t="s">
        <v>512</v>
      </c>
      <c r="Z357" s="13">
        <v>65</v>
      </c>
    </row>
    <row r="358" spans="1:26" ht="26.25" customHeight="1" x14ac:dyDescent="0.25">
      <c r="A358" t="s">
        <v>1348</v>
      </c>
      <c r="B358" t="str">
        <f t="shared" si="42"/>
        <v>3.11.2.6.3</v>
      </c>
      <c r="C358" t="str">
        <f t="shared" si="41"/>
        <v>Berubah</v>
      </c>
      <c r="D358" t="str">
        <f t="shared" si="43"/>
        <v>1.3.3.01.02.06.003</v>
      </c>
      <c r="E358" s="12" t="s">
        <v>964</v>
      </c>
      <c r="F358" s="4">
        <v>1</v>
      </c>
      <c r="G358" s="4">
        <v>3</v>
      </c>
      <c r="H358" s="4">
        <v>3</v>
      </c>
      <c r="I358" s="5" t="s">
        <v>10</v>
      </c>
      <c r="J358" s="5" t="s">
        <v>24</v>
      </c>
      <c r="K358" s="5" t="s">
        <v>66</v>
      </c>
      <c r="L358" s="5" t="s">
        <v>18</v>
      </c>
      <c r="M358" s="6" t="s">
        <v>23</v>
      </c>
      <c r="N358" s="6" t="str">
        <f t="shared" si="38"/>
        <v>Dst….</v>
      </c>
      <c r="O358" t="b">
        <f t="shared" si="44"/>
        <v>0</v>
      </c>
      <c r="Q358" s="12" t="s">
        <v>964</v>
      </c>
      <c r="R358" s="27">
        <v>3</v>
      </c>
      <c r="S358" s="28">
        <v>11</v>
      </c>
      <c r="T358" s="28">
        <v>2</v>
      </c>
      <c r="U358" s="28">
        <v>6</v>
      </c>
      <c r="V358" s="28">
        <v>3</v>
      </c>
      <c r="W358" s="11" t="s">
        <v>570</v>
      </c>
      <c r="X358" t="str">
        <f t="shared" si="40"/>
        <v>Hotel Lainnya</v>
      </c>
      <c r="Y358" s="13" t="s">
        <v>512</v>
      </c>
      <c r="Z358" s="13">
        <v>66</v>
      </c>
    </row>
    <row r="359" spans="1:26" ht="26.25" customHeight="1" x14ac:dyDescent="0.25">
      <c r="A359" t="s">
        <v>1129</v>
      </c>
      <c r="B359" t="str">
        <f t="shared" si="42"/>
        <v>....</v>
      </c>
      <c r="C359" t="str">
        <f t="shared" si="41"/>
        <v>Bertambah</v>
      </c>
      <c r="D359" t="str">
        <f t="shared" si="43"/>
        <v>......</v>
      </c>
      <c r="E359" s="12" t="s">
        <v>965</v>
      </c>
      <c r="F359" s="4"/>
      <c r="G359" s="4"/>
      <c r="H359" s="4"/>
      <c r="I359" s="5"/>
      <c r="J359" s="5"/>
      <c r="K359" s="5"/>
      <c r="L359" s="5"/>
      <c r="M359" s="6"/>
      <c r="N359" s="6" t="str">
        <f t="shared" si="38"/>
        <v/>
      </c>
      <c r="O359" t="b">
        <f t="shared" si="44"/>
        <v>1</v>
      </c>
      <c r="Q359" s="12" t="s">
        <v>965</v>
      </c>
      <c r="R359" s="27"/>
      <c r="S359" s="28"/>
      <c r="T359" s="28"/>
      <c r="U359" s="28"/>
      <c r="V359" s="28"/>
      <c r="W359" s="11"/>
      <c r="X359" t="str">
        <f t="shared" si="40"/>
        <v/>
      </c>
      <c r="Y359" s="13"/>
      <c r="Z359" s="13"/>
    </row>
    <row r="360" spans="1:26" ht="26.25" customHeight="1" x14ac:dyDescent="0.25">
      <c r="A360" t="s">
        <v>1349</v>
      </c>
      <c r="B360" t="str">
        <f t="shared" si="42"/>
        <v>3.11.2.7.*</v>
      </c>
      <c r="C360" t="str">
        <f t="shared" si="41"/>
        <v>Berubah</v>
      </c>
      <c r="D360" t="str">
        <f t="shared" si="43"/>
        <v>1.3.3.01.02.07.</v>
      </c>
      <c r="E360" s="12" t="s">
        <v>966</v>
      </c>
      <c r="F360" s="4">
        <v>1</v>
      </c>
      <c r="G360" s="4">
        <v>3</v>
      </c>
      <c r="H360" s="4">
        <v>3</v>
      </c>
      <c r="I360" s="5" t="s">
        <v>10</v>
      </c>
      <c r="J360" s="5" t="s">
        <v>24</v>
      </c>
      <c r="K360" s="5" t="s">
        <v>91</v>
      </c>
      <c r="L360" s="5"/>
      <c r="M360" s="6" t="s">
        <v>323</v>
      </c>
      <c r="N360" s="6" t="str">
        <f t="shared" si="38"/>
        <v>MOTEL</v>
      </c>
      <c r="O360" t="b">
        <f t="shared" si="44"/>
        <v>1</v>
      </c>
      <c r="Q360" s="12" t="s">
        <v>966</v>
      </c>
      <c r="R360" s="27">
        <v>3</v>
      </c>
      <c r="S360" s="28">
        <v>11</v>
      </c>
      <c r="T360" s="28">
        <v>2</v>
      </c>
      <c r="U360" s="28">
        <v>7</v>
      </c>
      <c r="V360" s="28" t="s">
        <v>411</v>
      </c>
      <c r="W360" s="11" t="s">
        <v>571</v>
      </c>
      <c r="X360" t="str">
        <f t="shared" si="40"/>
        <v>Motel</v>
      </c>
      <c r="Y360" s="13" t="s">
        <v>512</v>
      </c>
      <c r="Z360" s="13">
        <v>67</v>
      </c>
    </row>
    <row r="361" spans="1:26" ht="26.25" customHeight="1" x14ac:dyDescent="0.25">
      <c r="A361" t="s">
        <v>1350</v>
      </c>
      <c r="B361" t="str">
        <f t="shared" si="42"/>
        <v>3.11.2.7.1</v>
      </c>
      <c r="C361" t="str">
        <f t="shared" si="41"/>
        <v>Berubah</v>
      </c>
      <c r="D361" t="str">
        <f t="shared" si="43"/>
        <v>1.3.3.01.02.07.001</v>
      </c>
      <c r="E361" s="12" t="s">
        <v>967</v>
      </c>
      <c r="F361" s="4">
        <v>1</v>
      </c>
      <c r="G361" s="4">
        <v>3</v>
      </c>
      <c r="H361" s="4">
        <v>3</v>
      </c>
      <c r="I361" s="5" t="s">
        <v>10</v>
      </c>
      <c r="J361" s="5" t="s">
        <v>24</v>
      </c>
      <c r="K361" s="5" t="s">
        <v>91</v>
      </c>
      <c r="L361" s="5" t="s">
        <v>14</v>
      </c>
      <c r="M361" s="6" t="s">
        <v>324</v>
      </c>
      <c r="N361" s="6" t="str">
        <f t="shared" si="38"/>
        <v>Motel Permanen</v>
      </c>
      <c r="O361" t="b">
        <f t="shared" si="44"/>
        <v>1</v>
      </c>
      <c r="Q361" s="12" t="s">
        <v>967</v>
      </c>
      <c r="R361" s="27">
        <v>3</v>
      </c>
      <c r="S361" s="28">
        <v>11</v>
      </c>
      <c r="T361" s="28">
        <v>2</v>
      </c>
      <c r="U361" s="28">
        <v>7</v>
      </c>
      <c r="V361" s="28">
        <v>1</v>
      </c>
      <c r="W361" s="11" t="s">
        <v>324</v>
      </c>
      <c r="X361" t="str">
        <f t="shared" si="40"/>
        <v>Motel Permanen</v>
      </c>
      <c r="Y361" s="13" t="s">
        <v>512</v>
      </c>
      <c r="Z361" s="13">
        <v>68</v>
      </c>
    </row>
    <row r="362" spans="1:26" ht="26.25" customHeight="1" x14ac:dyDescent="0.25">
      <c r="A362" t="s">
        <v>1351</v>
      </c>
      <c r="B362" t="str">
        <f t="shared" si="42"/>
        <v>3.11.2.7.2</v>
      </c>
      <c r="C362" t="str">
        <f t="shared" si="41"/>
        <v>Berubah</v>
      </c>
      <c r="D362" t="str">
        <f t="shared" si="43"/>
        <v>1.3.3.01.02.07.002</v>
      </c>
      <c r="E362" s="12" t="s">
        <v>968</v>
      </c>
      <c r="F362" s="4">
        <v>1</v>
      </c>
      <c r="G362" s="4">
        <v>3</v>
      </c>
      <c r="H362" s="4">
        <v>3</v>
      </c>
      <c r="I362" s="5" t="s">
        <v>10</v>
      </c>
      <c r="J362" s="5" t="s">
        <v>24</v>
      </c>
      <c r="K362" s="5" t="s">
        <v>91</v>
      </c>
      <c r="L362" s="5" t="s">
        <v>16</v>
      </c>
      <c r="M362" s="6" t="s">
        <v>325</v>
      </c>
      <c r="N362" s="6" t="str">
        <f t="shared" si="38"/>
        <v>Motel Semi Permanen</v>
      </c>
      <c r="O362" t="b">
        <f t="shared" si="44"/>
        <v>1</v>
      </c>
      <c r="Q362" s="12" t="s">
        <v>968</v>
      </c>
      <c r="R362" s="27">
        <v>3</v>
      </c>
      <c r="S362" s="28">
        <v>11</v>
      </c>
      <c r="T362" s="28">
        <v>2</v>
      </c>
      <c r="U362" s="28">
        <v>7</v>
      </c>
      <c r="V362" s="28">
        <v>2</v>
      </c>
      <c r="W362" s="11" t="s">
        <v>325</v>
      </c>
      <c r="X362" t="str">
        <f t="shared" si="40"/>
        <v>Motel Semi Permanen</v>
      </c>
      <c r="Y362" s="13" t="s">
        <v>512</v>
      </c>
      <c r="Z362" s="13">
        <v>69</v>
      </c>
    </row>
    <row r="363" spans="1:26" ht="26.25" customHeight="1" x14ac:dyDescent="0.25">
      <c r="A363" t="s">
        <v>1352</v>
      </c>
      <c r="B363" t="str">
        <f t="shared" si="42"/>
        <v>3.11.2.7.3</v>
      </c>
      <c r="C363" t="str">
        <f t="shared" si="41"/>
        <v>Berubah</v>
      </c>
      <c r="D363" t="str">
        <f t="shared" si="43"/>
        <v>1.3.3.01.02.07.003</v>
      </c>
      <c r="E363" s="12" t="s">
        <v>969</v>
      </c>
      <c r="F363" s="4">
        <v>1</v>
      </c>
      <c r="G363" s="4">
        <v>3</v>
      </c>
      <c r="H363" s="4">
        <v>3</v>
      </c>
      <c r="I363" s="5" t="s">
        <v>10</v>
      </c>
      <c r="J363" s="5" t="s">
        <v>24</v>
      </c>
      <c r="K363" s="5" t="s">
        <v>91</v>
      </c>
      <c r="L363" s="5" t="s">
        <v>18</v>
      </c>
      <c r="M363" s="6" t="s">
        <v>23</v>
      </c>
      <c r="N363" s="6" t="str">
        <f t="shared" si="38"/>
        <v>Dst….</v>
      </c>
      <c r="O363" t="b">
        <f t="shared" si="44"/>
        <v>0</v>
      </c>
      <c r="Q363" s="12" t="s">
        <v>969</v>
      </c>
      <c r="R363" s="27">
        <v>3</v>
      </c>
      <c r="S363" s="28">
        <v>11</v>
      </c>
      <c r="T363" s="28">
        <v>2</v>
      </c>
      <c r="U363" s="28">
        <v>7</v>
      </c>
      <c r="V363" s="28">
        <v>3</v>
      </c>
      <c r="W363" s="11" t="s">
        <v>572</v>
      </c>
      <c r="X363" t="str">
        <f t="shared" si="40"/>
        <v>Motel Lainnya</v>
      </c>
      <c r="Y363" s="13" t="s">
        <v>512</v>
      </c>
      <c r="Z363" s="13">
        <v>70</v>
      </c>
    </row>
    <row r="364" spans="1:26" ht="26.25" customHeight="1" x14ac:dyDescent="0.25">
      <c r="A364" t="s">
        <v>1129</v>
      </c>
      <c r="B364" t="str">
        <f t="shared" si="42"/>
        <v>....</v>
      </c>
      <c r="C364" t="str">
        <f t="shared" si="41"/>
        <v>Bertambah</v>
      </c>
      <c r="D364" t="str">
        <f t="shared" si="43"/>
        <v>......</v>
      </c>
      <c r="E364" s="12" t="s">
        <v>970</v>
      </c>
      <c r="F364" s="4"/>
      <c r="G364" s="4"/>
      <c r="H364" s="4"/>
      <c r="I364" s="5"/>
      <c r="J364" s="5"/>
      <c r="K364" s="5"/>
      <c r="L364" s="5"/>
      <c r="M364" s="6"/>
      <c r="N364" s="6" t="str">
        <f t="shared" si="38"/>
        <v/>
      </c>
      <c r="O364" t="b">
        <f t="shared" si="44"/>
        <v>1</v>
      </c>
      <c r="Q364" s="12" t="s">
        <v>970</v>
      </c>
      <c r="R364" s="27"/>
      <c r="S364" s="28"/>
      <c r="T364" s="28"/>
      <c r="U364" s="28"/>
      <c r="V364" s="28"/>
      <c r="W364" s="11"/>
      <c r="X364" t="str">
        <f t="shared" si="40"/>
        <v/>
      </c>
      <c r="Y364" s="13"/>
      <c r="Z364" s="13"/>
    </row>
    <row r="365" spans="1:26" ht="26.25" customHeight="1" x14ac:dyDescent="0.25">
      <c r="A365" t="s">
        <v>1353</v>
      </c>
      <c r="B365" t="str">
        <f t="shared" si="42"/>
        <v>3.11.2.8.*</v>
      </c>
      <c r="C365" t="str">
        <f t="shared" si="41"/>
        <v>Berubah</v>
      </c>
      <c r="D365" t="str">
        <f t="shared" si="43"/>
        <v>1.3.3.01.02.08.</v>
      </c>
      <c r="E365" s="12" t="s">
        <v>971</v>
      </c>
      <c r="F365" s="4">
        <v>1</v>
      </c>
      <c r="G365" s="4">
        <v>3</v>
      </c>
      <c r="H365" s="4">
        <v>3</v>
      </c>
      <c r="I365" s="5" t="s">
        <v>10</v>
      </c>
      <c r="J365" s="5" t="s">
        <v>24</v>
      </c>
      <c r="K365" s="5" t="s">
        <v>96</v>
      </c>
      <c r="L365" s="5"/>
      <c r="M365" s="6" t="s">
        <v>326</v>
      </c>
      <c r="N365" s="6" t="str">
        <f t="shared" si="38"/>
        <v>FLAT/RUMAH SUSUN</v>
      </c>
      <c r="O365" t="b">
        <f t="shared" si="44"/>
        <v>0</v>
      </c>
      <c r="Q365" s="12" t="s">
        <v>971</v>
      </c>
      <c r="R365" s="27">
        <v>3</v>
      </c>
      <c r="S365" s="28">
        <v>11</v>
      </c>
      <c r="T365" s="28">
        <v>2</v>
      </c>
      <c r="U365" s="28">
        <v>8</v>
      </c>
      <c r="V365" s="28" t="s">
        <v>411</v>
      </c>
      <c r="W365" s="11" t="s">
        <v>573</v>
      </c>
      <c r="X365" t="str">
        <f t="shared" si="40"/>
        <v>Flat/Rumah Susun</v>
      </c>
      <c r="Y365" s="13" t="s">
        <v>512</v>
      </c>
      <c r="Z365" s="13">
        <v>71</v>
      </c>
    </row>
    <row r="366" spans="1:26" ht="26.25" customHeight="1" x14ac:dyDescent="0.25">
      <c r="A366" t="s">
        <v>1354</v>
      </c>
      <c r="B366" t="str">
        <f t="shared" si="42"/>
        <v>3.11.2.8.1</v>
      </c>
      <c r="C366" t="str">
        <f t="shared" si="41"/>
        <v>Berubah</v>
      </c>
      <c r="D366" t="str">
        <f t="shared" si="43"/>
        <v>1.3.3.01.02.08.001</v>
      </c>
      <c r="E366" s="12" t="s">
        <v>972</v>
      </c>
      <c r="F366" s="4">
        <v>1</v>
      </c>
      <c r="G366" s="4">
        <v>3</v>
      </c>
      <c r="H366" s="4">
        <v>3</v>
      </c>
      <c r="I366" s="5" t="s">
        <v>10</v>
      </c>
      <c r="J366" s="5" t="s">
        <v>24</v>
      </c>
      <c r="K366" s="5" t="s">
        <v>96</v>
      </c>
      <c r="L366" s="5" t="s">
        <v>14</v>
      </c>
      <c r="M366" s="6" t="s">
        <v>327</v>
      </c>
      <c r="N366" s="6" t="str">
        <f t="shared" si="38"/>
        <v>Flat/Rumah Susun Permanen</v>
      </c>
      <c r="O366" t="b">
        <f t="shared" si="44"/>
        <v>0</v>
      </c>
      <c r="Q366" s="12" t="s">
        <v>972</v>
      </c>
      <c r="R366" s="27">
        <v>3</v>
      </c>
      <c r="S366" s="28">
        <v>11</v>
      </c>
      <c r="T366" s="28">
        <v>2</v>
      </c>
      <c r="U366" s="28">
        <v>8</v>
      </c>
      <c r="V366" s="28">
        <v>1</v>
      </c>
      <c r="W366" s="11" t="s">
        <v>574</v>
      </c>
      <c r="X366" t="str">
        <f t="shared" si="40"/>
        <v>Flat/Rumah Susun Permanen</v>
      </c>
      <c r="Y366" s="13" t="s">
        <v>512</v>
      </c>
      <c r="Z366" s="13">
        <v>72</v>
      </c>
    </row>
    <row r="367" spans="1:26" ht="26.25" customHeight="1" x14ac:dyDescent="0.25">
      <c r="A367" t="s">
        <v>1355</v>
      </c>
      <c r="B367" t="str">
        <f t="shared" si="42"/>
        <v>3.11.2.8.2</v>
      </c>
      <c r="C367" t="str">
        <f t="shared" si="41"/>
        <v>Berubah</v>
      </c>
      <c r="D367" t="str">
        <f t="shared" si="43"/>
        <v>1.3.3.01.02.08.002</v>
      </c>
      <c r="E367" s="12" t="s">
        <v>973</v>
      </c>
      <c r="F367" s="4">
        <v>1</v>
      </c>
      <c r="G367" s="4">
        <v>3</v>
      </c>
      <c r="H367" s="4">
        <v>3</v>
      </c>
      <c r="I367" s="5" t="s">
        <v>10</v>
      </c>
      <c r="J367" s="5" t="s">
        <v>24</v>
      </c>
      <c r="K367" s="5" t="s">
        <v>96</v>
      </c>
      <c r="L367" s="5" t="s">
        <v>16</v>
      </c>
      <c r="M367" s="6" t="s">
        <v>328</v>
      </c>
      <c r="N367" s="6" t="str">
        <f t="shared" si="38"/>
        <v>Flat/Rumah Susun Semi Permanen</v>
      </c>
      <c r="O367" t="b">
        <f t="shared" si="44"/>
        <v>0</v>
      </c>
      <c r="Q367" s="12" t="s">
        <v>973</v>
      </c>
      <c r="R367" s="27">
        <v>3</v>
      </c>
      <c r="S367" s="28">
        <v>11</v>
      </c>
      <c r="T367" s="28">
        <v>2</v>
      </c>
      <c r="U367" s="28">
        <v>8</v>
      </c>
      <c r="V367" s="28">
        <v>2</v>
      </c>
      <c r="W367" s="11" t="s">
        <v>575</v>
      </c>
      <c r="X367" t="str">
        <f t="shared" si="40"/>
        <v>Flat/Rumah Susun Semi Permanen</v>
      </c>
      <c r="Y367" s="13" t="s">
        <v>512</v>
      </c>
      <c r="Z367" s="13">
        <v>73</v>
      </c>
    </row>
    <row r="368" spans="1:26" ht="26.25" customHeight="1" x14ac:dyDescent="0.25">
      <c r="A368" t="s">
        <v>1356</v>
      </c>
      <c r="B368" t="str">
        <f t="shared" si="42"/>
        <v>3.11.2.8.3</v>
      </c>
      <c r="C368" t="str">
        <f t="shared" si="41"/>
        <v>Berubah</v>
      </c>
      <c r="D368" t="str">
        <f t="shared" si="43"/>
        <v>1.3.3.01.02.08.003</v>
      </c>
      <c r="E368" s="12" t="s">
        <v>974</v>
      </c>
      <c r="F368" s="4">
        <v>1</v>
      </c>
      <c r="G368" s="4">
        <v>3</v>
      </c>
      <c r="H368" s="4">
        <v>3</v>
      </c>
      <c r="I368" s="5" t="s">
        <v>10</v>
      </c>
      <c r="J368" s="5" t="s">
        <v>24</v>
      </c>
      <c r="K368" s="5" t="s">
        <v>96</v>
      </c>
      <c r="L368" s="5" t="s">
        <v>18</v>
      </c>
      <c r="M368" s="6" t="s">
        <v>23</v>
      </c>
      <c r="N368" s="6" t="str">
        <f t="shared" si="38"/>
        <v>Dst….</v>
      </c>
      <c r="O368" t="b">
        <f t="shared" si="44"/>
        <v>0</v>
      </c>
      <c r="Q368" s="12" t="s">
        <v>974</v>
      </c>
      <c r="R368" s="27">
        <v>3</v>
      </c>
      <c r="S368" s="28">
        <v>11</v>
      </c>
      <c r="T368" s="28">
        <v>2</v>
      </c>
      <c r="U368" s="28">
        <v>8</v>
      </c>
      <c r="V368" s="28">
        <v>3</v>
      </c>
      <c r="W368" s="11" t="s">
        <v>415</v>
      </c>
      <c r="X368" t="str">
        <f t="shared" si="40"/>
        <v>Lain-lain</v>
      </c>
      <c r="Y368" s="13" t="s">
        <v>512</v>
      </c>
      <c r="Z368" s="13">
        <v>74</v>
      </c>
    </row>
    <row r="369" spans="1:26" ht="26.25" customHeight="1" x14ac:dyDescent="0.25">
      <c r="A369" t="s">
        <v>1129</v>
      </c>
      <c r="B369" t="str">
        <f t="shared" si="42"/>
        <v>....</v>
      </c>
      <c r="C369" t="str">
        <f t="shared" si="41"/>
        <v>Bertambah</v>
      </c>
      <c r="D369" t="str">
        <f t="shared" si="43"/>
        <v>1.3.3.01.02.09.</v>
      </c>
      <c r="E369" s="12" t="s">
        <v>975</v>
      </c>
      <c r="F369" s="17">
        <v>1</v>
      </c>
      <c r="G369" s="17">
        <v>3</v>
      </c>
      <c r="H369" s="17">
        <v>3</v>
      </c>
      <c r="I369" s="18" t="s">
        <v>10</v>
      </c>
      <c r="J369" s="18" t="s">
        <v>24</v>
      </c>
      <c r="K369" s="18" t="s">
        <v>101</v>
      </c>
      <c r="L369" s="18"/>
      <c r="M369" s="19" t="s">
        <v>329</v>
      </c>
      <c r="N369" s="19" t="str">
        <f t="shared" si="38"/>
        <v>RUMAH NEGARA DALAM PROSES PENGGOLONGAN</v>
      </c>
      <c r="O369" t="b">
        <f t="shared" si="44"/>
        <v>0</v>
      </c>
      <c r="Q369" s="12" t="s">
        <v>975</v>
      </c>
      <c r="R369" s="29"/>
      <c r="S369" s="29"/>
      <c r="T369" s="29"/>
      <c r="U369" s="29"/>
      <c r="V369" s="29"/>
      <c r="W369" s="10"/>
      <c r="X369" t="str">
        <f t="shared" si="40"/>
        <v/>
      </c>
      <c r="Y369" s="10"/>
      <c r="Z369" s="10"/>
    </row>
    <row r="370" spans="1:26" ht="26.25" customHeight="1" x14ac:dyDescent="0.25">
      <c r="A370" t="s">
        <v>1129</v>
      </c>
      <c r="B370" t="str">
        <f t="shared" si="42"/>
        <v>....</v>
      </c>
      <c r="C370" t="str">
        <f t="shared" si="41"/>
        <v>Bertambah</v>
      </c>
      <c r="D370" t="str">
        <f t="shared" si="43"/>
        <v>1.3.3.01.02.09.001</v>
      </c>
      <c r="E370" s="12" t="s">
        <v>976</v>
      </c>
      <c r="F370" s="17">
        <v>1</v>
      </c>
      <c r="G370" s="17">
        <v>3</v>
      </c>
      <c r="H370" s="17">
        <v>3</v>
      </c>
      <c r="I370" s="18" t="s">
        <v>10</v>
      </c>
      <c r="J370" s="18" t="s">
        <v>24</v>
      </c>
      <c r="K370" s="18" t="s">
        <v>101</v>
      </c>
      <c r="L370" s="18" t="s">
        <v>14</v>
      </c>
      <c r="M370" s="19" t="s">
        <v>330</v>
      </c>
      <c r="N370" s="19" t="str">
        <f t="shared" ref="N370:N394" si="45">TRIM(M370)</f>
        <v>Rumah Negara dalam proses penggolongan A</v>
      </c>
      <c r="O370" t="b">
        <f t="shared" ref="O370:O394" si="46">M370=W370</f>
        <v>0</v>
      </c>
      <c r="Q370" s="12" t="s">
        <v>976</v>
      </c>
      <c r="R370" s="29"/>
      <c r="S370" s="29"/>
      <c r="T370" s="29"/>
      <c r="U370" s="29"/>
      <c r="V370" s="29"/>
      <c r="W370" s="10"/>
      <c r="X370" t="str">
        <f t="shared" ref="X370:X394" si="47">TRIM(W370)</f>
        <v/>
      </c>
      <c r="Y370" s="10"/>
      <c r="Z370" s="10"/>
    </row>
    <row r="371" spans="1:26" ht="26.25" customHeight="1" x14ac:dyDescent="0.25">
      <c r="A371" t="s">
        <v>1129</v>
      </c>
      <c r="B371" t="str">
        <f t="shared" si="42"/>
        <v>....</v>
      </c>
      <c r="C371" t="str">
        <f t="shared" si="41"/>
        <v>Bertambah</v>
      </c>
      <c r="D371" t="str">
        <f t="shared" si="43"/>
        <v>1.3.3.01.02.09.002</v>
      </c>
      <c r="E371" s="12" t="s">
        <v>977</v>
      </c>
      <c r="F371" s="17">
        <v>1</v>
      </c>
      <c r="G371" s="17">
        <v>3</v>
      </c>
      <c r="H371" s="17">
        <v>3</v>
      </c>
      <c r="I371" s="18" t="s">
        <v>10</v>
      </c>
      <c r="J371" s="18" t="s">
        <v>24</v>
      </c>
      <c r="K371" s="18" t="s">
        <v>101</v>
      </c>
      <c r="L371" s="18" t="s">
        <v>16</v>
      </c>
      <c r="M371" s="19" t="s">
        <v>331</v>
      </c>
      <c r="N371" s="19" t="str">
        <f t="shared" si="45"/>
        <v>Rumah Negara dalam proses penggolongan B</v>
      </c>
      <c r="O371" t="b">
        <f t="shared" si="46"/>
        <v>0</v>
      </c>
      <c r="Q371" s="12" t="s">
        <v>977</v>
      </c>
      <c r="R371" s="29"/>
      <c r="S371" s="29"/>
      <c r="T371" s="29"/>
      <c r="U371" s="29"/>
      <c r="V371" s="29"/>
      <c r="W371" s="10"/>
      <c r="X371" t="str">
        <f t="shared" si="47"/>
        <v/>
      </c>
      <c r="Y371" s="10"/>
      <c r="Z371" s="10"/>
    </row>
    <row r="372" spans="1:26" ht="26.25" customHeight="1" x14ac:dyDescent="0.25">
      <c r="A372" t="s">
        <v>1129</v>
      </c>
      <c r="B372" t="str">
        <f t="shared" si="42"/>
        <v>....</v>
      </c>
      <c r="C372" t="str">
        <f t="shared" si="41"/>
        <v>Bertambah</v>
      </c>
      <c r="D372" t="str">
        <f t="shared" si="43"/>
        <v>1.3.3.01.02.09.003</v>
      </c>
      <c r="E372" s="12" t="s">
        <v>978</v>
      </c>
      <c r="F372" s="17">
        <v>1</v>
      </c>
      <c r="G372" s="17">
        <v>3</v>
      </c>
      <c r="H372" s="17">
        <v>3</v>
      </c>
      <c r="I372" s="18" t="s">
        <v>10</v>
      </c>
      <c r="J372" s="18" t="s">
        <v>24</v>
      </c>
      <c r="K372" s="18" t="s">
        <v>101</v>
      </c>
      <c r="L372" s="18" t="s">
        <v>18</v>
      </c>
      <c r="M372" s="19" t="s">
        <v>332</v>
      </c>
      <c r="N372" s="19" t="str">
        <f t="shared" si="45"/>
        <v>Rumah Negara dalam proses penggolongan C</v>
      </c>
      <c r="O372" t="b">
        <f t="shared" si="46"/>
        <v>0</v>
      </c>
      <c r="Q372" s="12" t="s">
        <v>978</v>
      </c>
      <c r="R372" s="29"/>
      <c r="S372" s="29"/>
      <c r="T372" s="29"/>
      <c r="U372" s="29"/>
      <c r="V372" s="29"/>
      <c r="W372" s="10"/>
      <c r="X372" t="str">
        <f t="shared" si="47"/>
        <v/>
      </c>
      <c r="Y372" s="10"/>
      <c r="Z372" s="10"/>
    </row>
    <row r="373" spans="1:26" ht="26.25" customHeight="1" x14ac:dyDescent="0.25">
      <c r="A373" t="s">
        <v>1129</v>
      </c>
      <c r="B373" t="str">
        <f t="shared" si="42"/>
        <v>....</v>
      </c>
      <c r="C373" t="str">
        <f t="shared" si="41"/>
        <v>Bertambah</v>
      </c>
      <c r="D373" t="str">
        <f t="shared" si="43"/>
        <v>1.3.3.01.02.09.004</v>
      </c>
      <c r="E373" s="12" t="s">
        <v>979</v>
      </c>
      <c r="F373" s="17">
        <v>1</v>
      </c>
      <c r="G373" s="17">
        <v>3</v>
      </c>
      <c r="H373" s="17">
        <v>3</v>
      </c>
      <c r="I373" s="18" t="s">
        <v>10</v>
      </c>
      <c r="J373" s="18" t="s">
        <v>24</v>
      </c>
      <c r="K373" s="18" t="s">
        <v>101</v>
      </c>
      <c r="L373" s="18" t="s">
        <v>20</v>
      </c>
      <c r="M373" s="19" t="s">
        <v>333</v>
      </c>
      <c r="N373" s="19" t="str">
        <f t="shared" si="45"/>
        <v>Rumah Negara dalam proses penggolongan D</v>
      </c>
      <c r="O373" t="b">
        <f t="shared" si="46"/>
        <v>0</v>
      </c>
      <c r="Q373" s="12" t="s">
        <v>979</v>
      </c>
      <c r="R373" s="29"/>
      <c r="S373" s="29"/>
      <c r="T373" s="29"/>
      <c r="U373" s="29"/>
      <c r="V373" s="29"/>
      <c r="W373" s="10"/>
      <c r="X373" t="str">
        <f t="shared" si="47"/>
        <v/>
      </c>
      <c r="Y373" s="10"/>
      <c r="Z373" s="10"/>
    </row>
    <row r="374" spans="1:26" ht="26.25" customHeight="1" x14ac:dyDescent="0.25">
      <c r="A374" t="s">
        <v>1129</v>
      </c>
      <c r="B374" t="str">
        <f t="shared" si="42"/>
        <v>....</v>
      </c>
      <c r="C374" t="str">
        <f t="shared" si="41"/>
        <v>Bertambah</v>
      </c>
      <c r="D374" t="str">
        <f t="shared" si="43"/>
        <v>1.3.3.01.02.09.005</v>
      </c>
      <c r="E374" s="12" t="s">
        <v>980</v>
      </c>
      <c r="F374" s="17">
        <v>1</v>
      </c>
      <c r="G374" s="17">
        <v>3</v>
      </c>
      <c r="H374" s="17">
        <v>3</v>
      </c>
      <c r="I374" s="18" t="s">
        <v>10</v>
      </c>
      <c r="J374" s="18" t="s">
        <v>24</v>
      </c>
      <c r="K374" s="18" t="s">
        <v>101</v>
      </c>
      <c r="L374" s="18" t="s">
        <v>22</v>
      </c>
      <c r="M374" s="19" t="s">
        <v>334</v>
      </c>
      <c r="N374" s="19" t="str">
        <f t="shared" si="45"/>
        <v>Rumah Negara dalam proses penggolongan E</v>
      </c>
      <c r="O374" t="b">
        <f t="shared" si="46"/>
        <v>0</v>
      </c>
      <c r="Q374" s="12" t="s">
        <v>980</v>
      </c>
      <c r="R374" s="29"/>
      <c r="S374" s="29"/>
      <c r="T374" s="29"/>
      <c r="U374" s="29"/>
      <c r="V374" s="29"/>
      <c r="W374" s="10"/>
      <c r="X374" t="str">
        <f t="shared" si="47"/>
        <v/>
      </c>
      <c r="Y374" s="10"/>
      <c r="Z374" s="10"/>
    </row>
    <row r="375" spans="1:26" ht="26.25" customHeight="1" x14ac:dyDescent="0.25">
      <c r="A375" t="s">
        <v>1129</v>
      </c>
      <c r="B375" t="str">
        <f t="shared" si="42"/>
        <v>....</v>
      </c>
      <c r="C375" t="str">
        <f t="shared" si="41"/>
        <v>Bertambah</v>
      </c>
      <c r="D375" t="str">
        <f t="shared" si="43"/>
        <v>1.3.3.01.02.09.006</v>
      </c>
      <c r="E375" s="12" t="s">
        <v>981</v>
      </c>
      <c r="F375" s="17">
        <v>1</v>
      </c>
      <c r="G375" s="17">
        <v>3</v>
      </c>
      <c r="H375" s="17">
        <v>3</v>
      </c>
      <c r="I375" s="18" t="s">
        <v>10</v>
      </c>
      <c r="J375" s="18" t="s">
        <v>24</v>
      </c>
      <c r="K375" s="18" t="s">
        <v>101</v>
      </c>
      <c r="L375" s="18" t="s">
        <v>31</v>
      </c>
      <c r="M375" s="19" t="s">
        <v>23</v>
      </c>
      <c r="N375" s="19" t="str">
        <f t="shared" si="45"/>
        <v>Dst….</v>
      </c>
      <c r="O375" t="b">
        <f t="shared" si="46"/>
        <v>0</v>
      </c>
      <c r="Q375" s="12" t="s">
        <v>981</v>
      </c>
      <c r="R375" s="29"/>
      <c r="S375" s="29"/>
      <c r="T375" s="29"/>
      <c r="U375" s="29"/>
      <c r="V375" s="29"/>
      <c r="W375" s="10"/>
      <c r="X375" t="str">
        <f t="shared" si="47"/>
        <v/>
      </c>
      <c r="Y375" s="10"/>
      <c r="Z375" s="10"/>
    </row>
    <row r="376" spans="1:26" ht="26.25" customHeight="1" x14ac:dyDescent="0.25">
      <c r="A376" t="s">
        <v>1129</v>
      </c>
      <c r="B376" t="str">
        <f t="shared" si="42"/>
        <v>....</v>
      </c>
      <c r="C376" t="str">
        <f t="shared" si="41"/>
        <v>Bertambah</v>
      </c>
      <c r="D376" t="str">
        <f t="shared" si="43"/>
        <v>1.3.3.01.02.10.</v>
      </c>
      <c r="E376" s="12" t="s">
        <v>982</v>
      </c>
      <c r="F376" s="17">
        <v>1</v>
      </c>
      <c r="G376" s="17">
        <v>3</v>
      </c>
      <c r="H376" s="17">
        <v>3</v>
      </c>
      <c r="I376" s="18" t="s">
        <v>10</v>
      </c>
      <c r="J376" s="18" t="s">
        <v>24</v>
      </c>
      <c r="K376" s="17">
        <v>10</v>
      </c>
      <c r="L376" s="18"/>
      <c r="M376" s="19" t="s">
        <v>335</v>
      </c>
      <c r="N376" s="19" t="str">
        <f t="shared" si="45"/>
        <v>PANTI ASUHAN</v>
      </c>
      <c r="O376" t="b">
        <f t="shared" si="46"/>
        <v>0</v>
      </c>
      <c r="Q376" s="12" t="s">
        <v>982</v>
      </c>
      <c r="R376" s="29"/>
      <c r="S376" s="29"/>
      <c r="T376" s="29"/>
      <c r="U376" s="29"/>
      <c r="V376" s="29"/>
      <c r="W376" s="10"/>
      <c r="X376" t="str">
        <f t="shared" si="47"/>
        <v/>
      </c>
      <c r="Y376" s="10"/>
      <c r="Z376" s="10"/>
    </row>
    <row r="377" spans="1:26" ht="26.25" customHeight="1" x14ac:dyDescent="0.25">
      <c r="A377" t="s">
        <v>1129</v>
      </c>
      <c r="B377" t="str">
        <f t="shared" si="42"/>
        <v>....</v>
      </c>
      <c r="C377" t="str">
        <f t="shared" si="41"/>
        <v>Bertambah</v>
      </c>
      <c r="D377" t="str">
        <f t="shared" si="43"/>
        <v>1.3.3.01.02.10.001</v>
      </c>
      <c r="E377" s="12" t="s">
        <v>983</v>
      </c>
      <c r="F377" s="17">
        <v>1</v>
      </c>
      <c r="G377" s="17">
        <v>3</v>
      </c>
      <c r="H377" s="17">
        <v>3</v>
      </c>
      <c r="I377" s="18" t="s">
        <v>10</v>
      </c>
      <c r="J377" s="18" t="s">
        <v>24</v>
      </c>
      <c r="K377" s="17">
        <v>10</v>
      </c>
      <c r="L377" s="18" t="s">
        <v>14</v>
      </c>
      <c r="M377" s="19" t="s">
        <v>336</v>
      </c>
      <c r="N377" s="19" t="str">
        <f t="shared" si="45"/>
        <v>Panti Asuhan</v>
      </c>
      <c r="O377" t="b">
        <f t="shared" si="46"/>
        <v>0</v>
      </c>
      <c r="Q377" s="12" t="s">
        <v>983</v>
      </c>
      <c r="R377" s="29"/>
      <c r="S377" s="29"/>
      <c r="T377" s="29"/>
      <c r="U377" s="29"/>
      <c r="V377" s="29"/>
      <c r="W377" s="10"/>
      <c r="X377" t="str">
        <f t="shared" si="47"/>
        <v/>
      </c>
      <c r="Y377" s="10"/>
      <c r="Z377" s="10"/>
    </row>
    <row r="378" spans="1:26" ht="26.25" customHeight="1" x14ac:dyDescent="0.25">
      <c r="A378" t="s">
        <v>1129</v>
      </c>
      <c r="B378" t="str">
        <f t="shared" si="42"/>
        <v>....</v>
      </c>
      <c r="C378" t="str">
        <f t="shared" ref="C378:C441" si="48">IF(R378&lt;&gt;"",IF(F378="","Keluar","Berubah"),"Bertambah")</f>
        <v>Bertambah</v>
      </c>
      <c r="D378" t="str">
        <f t="shared" si="43"/>
        <v>1.3.3.01.02.10.002</v>
      </c>
      <c r="E378" s="12" t="s">
        <v>984</v>
      </c>
      <c r="F378" s="17">
        <v>1</v>
      </c>
      <c r="G378" s="17">
        <v>3</v>
      </c>
      <c r="H378" s="17">
        <v>3</v>
      </c>
      <c r="I378" s="18" t="s">
        <v>10</v>
      </c>
      <c r="J378" s="18" t="s">
        <v>24</v>
      </c>
      <c r="K378" s="17">
        <v>10</v>
      </c>
      <c r="L378" s="18" t="s">
        <v>16</v>
      </c>
      <c r="M378" s="19" t="s">
        <v>23</v>
      </c>
      <c r="N378" s="19" t="str">
        <f t="shared" si="45"/>
        <v>Dst….</v>
      </c>
      <c r="O378" t="b">
        <f t="shared" si="46"/>
        <v>0</v>
      </c>
      <c r="Q378" s="12" t="s">
        <v>984</v>
      </c>
      <c r="R378" s="29"/>
      <c r="S378" s="29"/>
      <c r="T378" s="29"/>
      <c r="U378" s="29"/>
      <c r="V378" s="29"/>
      <c r="W378" s="10"/>
      <c r="X378" t="str">
        <f t="shared" si="47"/>
        <v/>
      </c>
      <c r="Y378" s="10"/>
      <c r="Z378" s="10"/>
    </row>
    <row r="379" spans="1:26" ht="26.25" customHeight="1" x14ac:dyDescent="0.25">
      <c r="A379" t="s">
        <v>1129</v>
      </c>
      <c r="B379" t="str">
        <f t="shared" si="42"/>
        <v>....</v>
      </c>
      <c r="C379" t="str">
        <f t="shared" si="48"/>
        <v>Bertambah</v>
      </c>
      <c r="D379" t="str">
        <f t="shared" si="43"/>
        <v>1.3.3.01.02.11.</v>
      </c>
      <c r="E379" s="12" t="s">
        <v>985</v>
      </c>
      <c r="F379" s="17">
        <v>1</v>
      </c>
      <c r="G379" s="17">
        <v>3</v>
      </c>
      <c r="H379" s="17">
        <v>3</v>
      </c>
      <c r="I379" s="18" t="s">
        <v>10</v>
      </c>
      <c r="J379" s="18" t="s">
        <v>24</v>
      </c>
      <c r="K379" s="17">
        <v>11</v>
      </c>
      <c r="L379" s="18"/>
      <c r="M379" s="19" t="s">
        <v>337</v>
      </c>
      <c r="N379" s="19" t="str">
        <f t="shared" si="45"/>
        <v>APARTEMEN</v>
      </c>
      <c r="O379" t="b">
        <f t="shared" si="46"/>
        <v>0</v>
      </c>
      <c r="Q379" s="12" t="s">
        <v>985</v>
      </c>
      <c r="R379" s="29"/>
      <c r="S379" s="29"/>
      <c r="T379" s="29"/>
      <c r="U379" s="29"/>
      <c r="V379" s="29"/>
      <c r="W379" s="10"/>
      <c r="X379" t="str">
        <f t="shared" si="47"/>
        <v/>
      </c>
      <c r="Y379" s="10"/>
      <c r="Z379" s="10"/>
    </row>
    <row r="380" spans="1:26" ht="26.25" customHeight="1" x14ac:dyDescent="0.25">
      <c r="A380" t="s">
        <v>1129</v>
      </c>
      <c r="B380" t="str">
        <f t="shared" si="42"/>
        <v>....</v>
      </c>
      <c r="C380" t="str">
        <f t="shared" si="48"/>
        <v>Bertambah</v>
      </c>
      <c r="D380" t="str">
        <f t="shared" si="43"/>
        <v>1.3.3.01.02.11.001</v>
      </c>
      <c r="E380" s="12" t="s">
        <v>986</v>
      </c>
      <c r="F380" s="17">
        <v>1</v>
      </c>
      <c r="G380" s="17">
        <v>3</v>
      </c>
      <c r="H380" s="17">
        <v>3</v>
      </c>
      <c r="I380" s="18" t="s">
        <v>10</v>
      </c>
      <c r="J380" s="18" t="s">
        <v>24</v>
      </c>
      <c r="K380" s="17">
        <v>11</v>
      </c>
      <c r="L380" s="18" t="s">
        <v>14</v>
      </c>
      <c r="M380" s="19" t="s">
        <v>338</v>
      </c>
      <c r="N380" s="19" t="str">
        <f t="shared" si="45"/>
        <v>Apartemen</v>
      </c>
      <c r="O380" t="b">
        <f t="shared" si="46"/>
        <v>0</v>
      </c>
      <c r="Q380" s="12" t="s">
        <v>986</v>
      </c>
      <c r="R380" s="29"/>
      <c r="S380" s="29"/>
      <c r="T380" s="29"/>
      <c r="U380" s="29"/>
      <c r="V380" s="29"/>
      <c r="W380" s="10"/>
      <c r="X380" t="str">
        <f t="shared" si="47"/>
        <v/>
      </c>
      <c r="Y380" s="10"/>
      <c r="Z380" s="10"/>
    </row>
    <row r="381" spans="1:26" ht="26.25" customHeight="1" x14ac:dyDescent="0.25">
      <c r="A381" t="s">
        <v>1129</v>
      </c>
      <c r="B381" t="str">
        <f t="shared" si="42"/>
        <v>....</v>
      </c>
      <c r="C381" t="str">
        <f t="shared" si="48"/>
        <v>Bertambah</v>
      </c>
      <c r="D381" t="str">
        <f t="shared" si="43"/>
        <v>1.3.3.01.02.11.002</v>
      </c>
      <c r="E381" s="12" t="s">
        <v>987</v>
      </c>
      <c r="F381" s="17">
        <v>1</v>
      </c>
      <c r="G381" s="17">
        <v>3</v>
      </c>
      <c r="H381" s="17">
        <v>3</v>
      </c>
      <c r="I381" s="18" t="s">
        <v>10</v>
      </c>
      <c r="J381" s="18" t="s">
        <v>24</v>
      </c>
      <c r="K381" s="17">
        <v>11</v>
      </c>
      <c r="L381" s="18" t="s">
        <v>16</v>
      </c>
      <c r="M381" s="19" t="s">
        <v>23</v>
      </c>
      <c r="N381" s="19" t="str">
        <f t="shared" si="45"/>
        <v>Dst….</v>
      </c>
      <c r="O381" t="b">
        <f t="shared" si="46"/>
        <v>0</v>
      </c>
      <c r="Q381" s="12" t="s">
        <v>987</v>
      </c>
      <c r="R381" s="29"/>
      <c r="S381" s="29"/>
      <c r="T381" s="29"/>
      <c r="U381" s="29"/>
      <c r="V381" s="29"/>
      <c r="W381" s="10"/>
      <c r="X381" t="str">
        <f t="shared" si="47"/>
        <v/>
      </c>
      <c r="Y381" s="10"/>
      <c r="Z381" s="10"/>
    </row>
    <row r="382" spans="1:26" ht="26.25" customHeight="1" x14ac:dyDescent="0.25">
      <c r="A382" t="s">
        <v>1129</v>
      </c>
      <c r="B382" t="str">
        <f t="shared" si="42"/>
        <v>....</v>
      </c>
      <c r="C382" t="str">
        <f t="shared" si="48"/>
        <v>Bertambah</v>
      </c>
      <c r="D382" t="str">
        <f t="shared" si="43"/>
        <v>1.3.3.01.02.12.</v>
      </c>
      <c r="E382" s="12" t="s">
        <v>988</v>
      </c>
      <c r="F382" s="17">
        <v>1</v>
      </c>
      <c r="G382" s="17">
        <v>3</v>
      </c>
      <c r="H382" s="17">
        <v>3</v>
      </c>
      <c r="I382" s="18" t="s">
        <v>10</v>
      </c>
      <c r="J382" s="18" t="s">
        <v>24</v>
      </c>
      <c r="K382" s="17">
        <v>12</v>
      </c>
      <c r="L382" s="18"/>
      <c r="M382" s="19" t="s">
        <v>339</v>
      </c>
      <c r="N382" s="19" t="str">
        <f t="shared" si="45"/>
        <v>RUMAH TIDAK BERSUSUN</v>
      </c>
      <c r="O382" t="b">
        <f t="shared" si="46"/>
        <v>0</v>
      </c>
      <c r="Q382" s="12" t="s">
        <v>988</v>
      </c>
      <c r="R382" s="29"/>
      <c r="S382" s="29"/>
      <c r="T382" s="29"/>
      <c r="U382" s="29"/>
      <c r="V382" s="29"/>
      <c r="W382" s="10"/>
      <c r="X382" t="str">
        <f t="shared" si="47"/>
        <v/>
      </c>
      <c r="Y382" s="10"/>
      <c r="Z382" s="10"/>
    </row>
    <row r="383" spans="1:26" ht="26.25" customHeight="1" x14ac:dyDescent="0.25">
      <c r="A383" t="s">
        <v>1129</v>
      </c>
      <c r="B383" t="str">
        <f t="shared" si="42"/>
        <v>....</v>
      </c>
      <c r="C383" t="str">
        <f t="shared" si="48"/>
        <v>Bertambah</v>
      </c>
      <c r="D383" t="str">
        <f t="shared" si="43"/>
        <v>1.3.3.01.02.12.001</v>
      </c>
      <c r="E383" s="12" t="s">
        <v>989</v>
      </c>
      <c r="F383" s="17">
        <v>1</v>
      </c>
      <c r="G383" s="17">
        <v>3</v>
      </c>
      <c r="H383" s="17">
        <v>3</v>
      </c>
      <c r="I383" s="18" t="s">
        <v>10</v>
      </c>
      <c r="J383" s="18" t="s">
        <v>24</v>
      </c>
      <c r="K383" s="17">
        <v>12</v>
      </c>
      <c r="L383" s="18" t="s">
        <v>14</v>
      </c>
      <c r="M383" s="19" t="s">
        <v>340</v>
      </c>
      <c r="N383" s="19" t="str">
        <f t="shared" si="45"/>
        <v>Rumah Sederhana Sehat</v>
      </c>
      <c r="O383" t="b">
        <f t="shared" si="46"/>
        <v>0</v>
      </c>
      <c r="Q383" s="12" t="s">
        <v>989</v>
      </c>
      <c r="R383" s="29"/>
      <c r="S383" s="29"/>
      <c r="T383" s="29"/>
      <c r="U383" s="29"/>
      <c r="V383" s="29"/>
      <c r="W383" s="10"/>
      <c r="X383" t="str">
        <f t="shared" si="47"/>
        <v/>
      </c>
      <c r="Y383" s="10"/>
      <c r="Z383" s="10"/>
    </row>
    <row r="384" spans="1:26" ht="26.25" customHeight="1" x14ac:dyDescent="0.25">
      <c r="A384" t="s">
        <v>1129</v>
      </c>
      <c r="B384" t="str">
        <f t="shared" si="42"/>
        <v>....</v>
      </c>
      <c r="C384" t="str">
        <f t="shared" si="48"/>
        <v>Bertambah</v>
      </c>
      <c r="D384" t="str">
        <f t="shared" si="43"/>
        <v>1.3.3.01.02.12.002</v>
      </c>
      <c r="E384" s="12" t="s">
        <v>990</v>
      </c>
      <c r="F384" s="17">
        <v>1</v>
      </c>
      <c r="G384" s="17">
        <v>3</v>
      </c>
      <c r="H384" s="17">
        <v>3</v>
      </c>
      <c r="I384" s="18" t="s">
        <v>10</v>
      </c>
      <c r="J384" s="18" t="s">
        <v>24</v>
      </c>
      <c r="K384" s="17">
        <v>12</v>
      </c>
      <c r="L384" s="18" t="s">
        <v>16</v>
      </c>
      <c r="M384" s="19" t="s">
        <v>341</v>
      </c>
      <c r="N384" s="19" t="str">
        <f t="shared" si="45"/>
        <v>Rumah Sederhana</v>
      </c>
      <c r="O384" t="b">
        <f t="shared" si="46"/>
        <v>0</v>
      </c>
      <c r="Q384" s="12" t="s">
        <v>990</v>
      </c>
      <c r="R384" s="29"/>
      <c r="S384" s="29"/>
      <c r="T384" s="29"/>
      <c r="U384" s="29"/>
      <c r="V384" s="29"/>
      <c r="W384" s="10"/>
      <c r="X384" t="str">
        <f t="shared" si="47"/>
        <v/>
      </c>
      <c r="Y384" s="10"/>
      <c r="Z384" s="10"/>
    </row>
    <row r="385" spans="1:26" ht="26.25" customHeight="1" x14ac:dyDescent="0.25">
      <c r="A385" t="s">
        <v>1129</v>
      </c>
      <c r="B385" t="str">
        <f t="shared" si="42"/>
        <v>....</v>
      </c>
      <c r="C385" t="str">
        <f t="shared" si="48"/>
        <v>Bertambah</v>
      </c>
      <c r="D385" t="str">
        <f t="shared" si="43"/>
        <v>1.3.3.01.02.12.003</v>
      </c>
      <c r="E385" s="12" t="s">
        <v>991</v>
      </c>
      <c r="F385" s="17">
        <v>1</v>
      </c>
      <c r="G385" s="17">
        <v>3</v>
      </c>
      <c r="H385" s="17">
        <v>3</v>
      </c>
      <c r="I385" s="18" t="s">
        <v>10</v>
      </c>
      <c r="J385" s="18" t="s">
        <v>24</v>
      </c>
      <c r="K385" s="17">
        <v>12</v>
      </c>
      <c r="L385" s="18" t="s">
        <v>18</v>
      </c>
      <c r="M385" s="19" t="s">
        <v>342</v>
      </c>
      <c r="N385" s="19" t="str">
        <f t="shared" si="45"/>
        <v>Rumah Khusus</v>
      </c>
      <c r="O385" t="b">
        <f t="shared" si="46"/>
        <v>0</v>
      </c>
      <c r="Q385" s="12" t="s">
        <v>991</v>
      </c>
      <c r="R385" s="29"/>
      <c r="S385" s="29"/>
      <c r="T385" s="29"/>
      <c r="U385" s="29"/>
      <c r="V385" s="29"/>
      <c r="W385" s="10"/>
      <c r="X385" t="str">
        <f t="shared" si="47"/>
        <v/>
      </c>
      <c r="Y385" s="10"/>
      <c r="Z385" s="10"/>
    </row>
    <row r="386" spans="1:26" ht="26.25" customHeight="1" x14ac:dyDescent="0.25">
      <c r="A386" t="s">
        <v>1129</v>
      </c>
      <c r="B386" t="str">
        <f t="shared" si="42"/>
        <v>....</v>
      </c>
      <c r="C386" t="str">
        <f t="shared" si="48"/>
        <v>Bertambah</v>
      </c>
      <c r="D386" t="str">
        <f t="shared" si="43"/>
        <v>1.3.3.01.02.12.004</v>
      </c>
      <c r="E386" s="12" t="s">
        <v>992</v>
      </c>
      <c r="F386" s="17">
        <v>1</v>
      </c>
      <c r="G386" s="17">
        <v>3</v>
      </c>
      <c r="H386" s="17">
        <v>3</v>
      </c>
      <c r="I386" s="18" t="s">
        <v>10</v>
      </c>
      <c r="J386" s="18" t="s">
        <v>24</v>
      </c>
      <c r="K386" s="17">
        <v>12</v>
      </c>
      <c r="L386" s="18" t="s">
        <v>20</v>
      </c>
      <c r="M386" s="19" t="s">
        <v>23</v>
      </c>
      <c r="N386" s="19" t="str">
        <f t="shared" si="45"/>
        <v>Dst….</v>
      </c>
      <c r="O386" t="b">
        <f t="shared" si="46"/>
        <v>0</v>
      </c>
      <c r="Q386" s="12" t="s">
        <v>992</v>
      </c>
      <c r="R386" s="29"/>
      <c r="S386" s="29"/>
      <c r="T386" s="29"/>
      <c r="U386" s="29"/>
      <c r="V386" s="29"/>
      <c r="W386" s="10"/>
      <c r="X386" t="str">
        <f t="shared" si="47"/>
        <v/>
      </c>
      <c r="Y386" s="10"/>
      <c r="Z386" s="10"/>
    </row>
    <row r="387" spans="1:26" ht="26.25" customHeight="1" x14ac:dyDescent="0.25">
      <c r="A387" t="s">
        <v>1129</v>
      </c>
      <c r="B387" t="str">
        <f t="shared" si="42"/>
        <v>....</v>
      </c>
      <c r="C387" t="str">
        <f t="shared" si="48"/>
        <v>Bertambah</v>
      </c>
      <c r="D387" t="str">
        <f t="shared" si="43"/>
        <v>1.3.3.01.02.13.</v>
      </c>
      <c r="E387" s="12" t="s">
        <v>993</v>
      </c>
      <c r="F387" s="17">
        <v>1</v>
      </c>
      <c r="G387" s="17">
        <v>3</v>
      </c>
      <c r="H387" s="17">
        <v>3</v>
      </c>
      <c r="I387" s="18" t="s">
        <v>10</v>
      </c>
      <c r="J387" s="18" t="s">
        <v>24</v>
      </c>
      <c r="K387" s="17">
        <v>13</v>
      </c>
      <c r="L387" s="18"/>
      <c r="M387" s="19" t="s">
        <v>343</v>
      </c>
      <c r="N387" s="19" t="str">
        <f t="shared" si="45"/>
        <v>BANGUNAN GEDUNG TEMPAT TINGGAL LAINNYA</v>
      </c>
      <c r="O387" t="b">
        <f t="shared" si="46"/>
        <v>0</v>
      </c>
      <c r="Q387" s="12" t="s">
        <v>993</v>
      </c>
      <c r="R387" s="29"/>
      <c r="S387" s="29"/>
      <c r="T387" s="29"/>
      <c r="U387" s="29"/>
      <c r="V387" s="29"/>
      <c r="W387" s="10"/>
      <c r="X387" t="str">
        <f t="shared" si="47"/>
        <v/>
      </c>
      <c r="Y387" s="10"/>
      <c r="Z387" s="10"/>
    </row>
    <row r="388" spans="1:26" ht="26.25" customHeight="1" x14ac:dyDescent="0.25">
      <c r="A388" t="s">
        <v>1129</v>
      </c>
      <c r="B388" t="str">
        <f t="shared" si="42"/>
        <v>....</v>
      </c>
      <c r="C388" t="str">
        <f t="shared" si="48"/>
        <v>Bertambah</v>
      </c>
      <c r="D388" t="str">
        <f t="shared" si="43"/>
        <v>1.3.3.01.02.13.001</v>
      </c>
      <c r="E388" s="12" t="s">
        <v>994</v>
      </c>
      <c r="F388" s="17">
        <v>1</v>
      </c>
      <c r="G388" s="17">
        <v>3</v>
      </c>
      <c r="H388" s="17">
        <v>3</v>
      </c>
      <c r="I388" s="18" t="s">
        <v>10</v>
      </c>
      <c r="J388" s="18" t="s">
        <v>24</v>
      </c>
      <c r="K388" s="17">
        <v>13</v>
      </c>
      <c r="L388" s="18" t="s">
        <v>14</v>
      </c>
      <c r="M388" s="19" t="s">
        <v>23</v>
      </c>
      <c r="N388" s="19" t="str">
        <f t="shared" si="45"/>
        <v>Dst….</v>
      </c>
      <c r="O388" t="b">
        <f t="shared" si="46"/>
        <v>0</v>
      </c>
      <c r="Q388" s="12" t="s">
        <v>994</v>
      </c>
      <c r="R388" s="29"/>
      <c r="S388" s="29"/>
      <c r="T388" s="29"/>
      <c r="U388" s="29"/>
      <c r="V388" s="29"/>
      <c r="W388" s="10"/>
      <c r="X388" t="str">
        <f t="shared" si="47"/>
        <v/>
      </c>
      <c r="Y388" s="10"/>
      <c r="Z388" s="10"/>
    </row>
    <row r="389" spans="1:26" ht="26.25" customHeight="1" x14ac:dyDescent="0.25">
      <c r="A389" t="s">
        <v>1357</v>
      </c>
      <c r="B389" t="str">
        <f t="shared" si="42"/>
        <v>3.12.*.*.*</v>
      </c>
      <c r="C389" t="str">
        <f t="shared" si="48"/>
        <v>Berubah</v>
      </c>
      <c r="D389" t="str">
        <f t="shared" si="43"/>
        <v>1.3.3.02...</v>
      </c>
      <c r="E389" s="12" t="s">
        <v>995</v>
      </c>
      <c r="F389" s="4">
        <v>1</v>
      </c>
      <c r="G389" s="4">
        <v>3</v>
      </c>
      <c r="H389" s="4">
        <v>3</v>
      </c>
      <c r="I389" s="5" t="s">
        <v>24</v>
      </c>
      <c r="J389" s="4"/>
      <c r="K389" s="5"/>
      <c r="L389" s="5"/>
      <c r="M389" s="6" t="s">
        <v>344</v>
      </c>
      <c r="N389" s="6" t="str">
        <f t="shared" si="45"/>
        <v>MONUMEN</v>
      </c>
      <c r="O389" t="b">
        <f t="shared" si="46"/>
        <v>0</v>
      </c>
      <c r="Q389" s="12" t="s">
        <v>995</v>
      </c>
      <c r="R389" s="27">
        <v>3</v>
      </c>
      <c r="S389" s="28">
        <v>12</v>
      </c>
      <c r="T389" s="28" t="s">
        <v>411</v>
      </c>
      <c r="U389" s="28" t="s">
        <v>411</v>
      </c>
      <c r="V389" s="28" t="s">
        <v>411</v>
      </c>
      <c r="W389" s="11" t="s">
        <v>583</v>
      </c>
      <c r="X389" t="str">
        <f t="shared" si="47"/>
        <v>MONUMEN</v>
      </c>
      <c r="Y389" s="13" t="s">
        <v>584</v>
      </c>
      <c r="Z389" s="13">
        <v>1</v>
      </c>
    </row>
    <row r="390" spans="1:26" ht="26.25" customHeight="1" x14ac:dyDescent="0.25">
      <c r="A390" t="s">
        <v>1358</v>
      </c>
      <c r="B390" t="str">
        <f t="shared" si="42"/>
        <v>3.12.1.*.*</v>
      </c>
      <c r="C390" t="str">
        <f t="shared" si="48"/>
        <v>Keluar</v>
      </c>
      <c r="D390" t="str">
        <f t="shared" si="43"/>
        <v>......</v>
      </c>
      <c r="E390" s="12" t="s">
        <v>996</v>
      </c>
      <c r="F390" s="17"/>
      <c r="G390" s="17"/>
      <c r="H390" s="17"/>
      <c r="I390" s="18"/>
      <c r="J390" s="17"/>
      <c r="K390" s="18"/>
      <c r="L390" s="18"/>
      <c r="M390" s="19"/>
      <c r="N390" s="19" t="str">
        <f t="shared" si="45"/>
        <v/>
      </c>
      <c r="O390" t="b">
        <f t="shared" si="46"/>
        <v>0</v>
      </c>
      <c r="Q390" s="12" t="s">
        <v>996</v>
      </c>
      <c r="R390" s="27">
        <v>3</v>
      </c>
      <c r="S390" s="28">
        <v>12</v>
      </c>
      <c r="T390" s="28">
        <v>1</v>
      </c>
      <c r="U390" s="28" t="s">
        <v>411</v>
      </c>
      <c r="V390" s="28" t="s">
        <v>411</v>
      </c>
      <c r="W390" s="11" t="s">
        <v>585</v>
      </c>
      <c r="X390" t="str">
        <f t="shared" si="47"/>
        <v>Bangunan Bersejarah</v>
      </c>
      <c r="Y390" s="13" t="s">
        <v>584</v>
      </c>
      <c r="Z390" s="13">
        <v>2</v>
      </c>
    </row>
    <row r="391" spans="1:26" ht="26.25" customHeight="1" x14ac:dyDescent="0.25">
      <c r="A391" t="s">
        <v>1359</v>
      </c>
      <c r="B391" t="str">
        <f t="shared" ref="B391:B454" si="49">R391&amp;"."&amp;S391&amp;"."&amp;T391&amp;"."&amp;U391&amp;"."&amp;V391</f>
        <v>3.12.1.1.*</v>
      </c>
      <c r="C391" t="str">
        <f t="shared" si="48"/>
        <v>Keluar</v>
      </c>
      <c r="D391" t="str">
        <f t="shared" si="43"/>
        <v>......</v>
      </c>
      <c r="E391" s="12" t="s">
        <v>997</v>
      </c>
      <c r="F391" s="17"/>
      <c r="G391" s="17"/>
      <c r="H391" s="17"/>
      <c r="I391" s="18"/>
      <c r="J391" s="17"/>
      <c r="K391" s="18"/>
      <c r="L391" s="18"/>
      <c r="M391" s="19"/>
      <c r="N391" s="19" t="str">
        <f t="shared" si="45"/>
        <v/>
      </c>
      <c r="O391" t="b">
        <f t="shared" si="46"/>
        <v>0</v>
      </c>
      <c r="Q391" s="12" t="s">
        <v>997</v>
      </c>
      <c r="R391" s="27">
        <v>3</v>
      </c>
      <c r="S391" s="28">
        <v>12</v>
      </c>
      <c r="T391" s="28">
        <v>1</v>
      </c>
      <c r="U391" s="28">
        <v>1</v>
      </c>
      <c r="V391" s="28" t="s">
        <v>411</v>
      </c>
      <c r="W391" s="11" t="s">
        <v>586</v>
      </c>
      <c r="X391" t="str">
        <f t="shared" si="47"/>
        <v>Istana Peringatan</v>
      </c>
      <c r="Y391" s="13" t="s">
        <v>584</v>
      </c>
      <c r="Z391" s="13">
        <v>3</v>
      </c>
    </row>
    <row r="392" spans="1:26" ht="26.25" customHeight="1" x14ac:dyDescent="0.25">
      <c r="A392" t="s">
        <v>1360</v>
      </c>
      <c r="B392" t="str">
        <f t="shared" si="49"/>
        <v>3.12.1.1.1</v>
      </c>
      <c r="C392" t="str">
        <f t="shared" si="48"/>
        <v>Keluar</v>
      </c>
      <c r="D392" t="str">
        <f t="shared" ref="D392:D455" si="50">F392&amp;"."&amp;G392&amp;"."&amp;H392&amp;"."&amp;I392&amp;"."&amp;J392&amp;"."&amp;K392&amp;"."&amp;L392</f>
        <v>......</v>
      </c>
      <c r="E392" s="12" t="s">
        <v>998</v>
      </c>
      <c r="F392" s="17"/>
      <c r="G392" s="17"/>
      <c r="H392" s="17"/>
      <c r="I392" s="18"/>
      <c r="J392" s="17"/>
      <c r="K392" s="18"/>
      <c r="L392" s="18"/>
      <c r="M392" s="19"/>
      <c r="N392" s="19" t="str">
        <f t="shared" si="45"/>
        <v/>
      </c>
      <c r="O392" t="b">
        <f t="shared" si="46"/>
        <v>0</v>
      </c>
      <c r="Q392" s="12" t="s">
        <v>998</v>
      </c>
      <c r="R392" s="27">
        <v>3</v>
      </c>
      <c r="S392" s="28">
        <v>12</v>
      </c>
      <c r="T392" s="28">
        <v>1</v>
      </c>
      <c r="U392" s="28">
        <v>1</v>
      </c>
      <c r="V392" s="28">
        <v>1</v>
      </c>
      <c r="W392" s="11" t="s">
        <v>353</v>
      </c>
      <c r="X392" t="str">
        <f t="shared" si="47"/>
        <v>Istana Peninggalan</v>
      </c>
      <c r="Y392" s="13" t="s">
        <v>584</v>
      </c>
      <c r="Z392" s="13">
        <v>4</v>
      </c>
    </row>
    <row r="393" spans="1:26" ht="26.25" customHeight="1" x14ac:dyDescent="0.25">
      <c r="A393" t="s">
        <v>1361</v>
      </c>
      <c r="B393" t="str">
        <f t="shared" si="49"/>
        <v>3.12.1.1.2</v>
      </c>
      <c r="C393" t="str">
        <f t="shared" si="48"/>
        <v>Keluar</v>
      </c>
      <c r="D393" t="str">
        <f t="shared" si="50"/>
        <v>......</v>
      </c>
      <c r="E393" s="12" t="s">
        <v>999</v>
      </c>
      <c r="F393" s="17"/>
      <c r="G393" s="17"/>
      <c r="H393" s="17"/>
      <c r="I393" s="18"/>
      <c r="J393" s="17"/>
      <c r="K393" s="18"/>
      <c r="L393" s="18"/>
      <c r="M393" s="19"/>
      <c r="N393" s="19" t="str">
        <f t="shared" si="45"/>
        <v/>
      </c>
      <c r="O393" t="b">
        <f t="shared" si="46"/>
        <v>0</v>
      </c>
      <c r="Q393" s="12" t="s">
        <v>999</v>
      </c>
      <c r="R393" s="27">
        <v>3</v>
      </c>
      <c r="S393" s="28">
        <v>12</v>
      </c>
      <c r="T393" s="28">
        <v>1</v>
      </c>
      <c r="U393" s="28">
        <v>1</v>
      </c>
      <c r="V393" s="28">
        <v>2</v>
      </c>
      <c r="W393" s="11" t="s">
        <v>415</v>
      </c>
      <c r="X393" t="str">
        <f t="shared" si="47"/>
        <v>Lain-lain</v>
      </c>
      <c r="Y393" s="13" t="s">
        <v>584</v>
      </c>
      <c r="Z393" s="13">
        <v>5</v>
      </c>
    </row>
    <row r="394" spans="1:26" ht="26.25" customHeight="1" x14ac:dyDescent="0.25">
      <c r="A394" t="s">
        <v>1362</v>
      </c>
      <c r="B394" t="str">
        <f t="shared" si="49"/>
        <v>3.12.4.1.*</v>
      </c>
      <c r="C394" t="str">
        <f t="shared" si="48"/>
        <v>Keluar</v>
      </c>
      <c r="D394" t="str">
        <f t="shared" si="50"/>
        <v>......</v>
      </c>
      <c r="E394" s="12" t="s">
        <v>1000</v>
      </c>
      <c r="F394" s="17"/>
      <c r="G394" s="17"/>
      <c r="H394" s="17"/>
      <c r="I394" s="18"/>
      <c r="J394" s="17"/>
      <c r="K394" s="18"/>
      <c r="L394" s="18"/>
      <c r="M394" s="19"/>
      <c r="N394" s="19" t="str">
        <f t="shared" si="45"/>
        <v/>
      </c>
      <c r="O394" t="b">
        <f t="shared" si="46"/>
        <v>0</v>
      </c>
      <c r="Q394" s="12" t="s">
        <v>1000</v>
      </c>
      <c r="R394" s="30">
        <v>3</v>
      </c>
      <c r="S394" s="28">
        <v>12</v>
      </c>
      <c r="T394" s="28">
        <v>4</v>
      </c>
      <c r="U394" s="28">
        <v>1</v>
      </c>
      <c r="V394" s="28" t="s">
        <v>411</v>
      </c>
      <c r="W394" s="11" t="s">
        <v>599</v>
      </c>
      <c r="X394" t="str">
        <f t="shared" si="47"/>
        <v>Bangunan Bersejarah Lainnya</v>
      </c>
      <c r="Y394" s="10"/>
      <c r="Z394" s="10"/>
    </row>
    <row r="395" spans="1:26" ht="26.25" customHeight="1" x14ac:dyDescent="0.25">
      <c r="A395" t="s">
        <v>1363</v>
      </c>
      <c r="B395" t="str">
        <f t="shared" si="49"/>
        <v>3.12.4.1.1</v>
      </c>
      <c r="C395" t="str">
        <f t="shared" si="48"/>
        <v>Keluar</v>
      </c>
      <c r="D395" t="str">
        <f t="shared" si="50"/>
        <v>......</v>
      </c>
      <c r="E395" s="12" t="s">
        <v>1001</v>
      </c>
      <c r="F395" s="4"/>
      <c r="G395" s="4"/>
      <c r="H395" s="17"/>
      <c r="I395" s="18"/>
      <c r="J395" s="17"/>
      <c r="K395" s="18"/>
      <c r="L395" s="18"/>
      <c r="M395" s="19"/>
      <c r="N395" s="6" t="s">
        <v>346</v>
      </c>
      <c r="O395" t="b">
        <f>M395=W396</f>
        <v>1</v>
      </c>
      <c r="Q395" s="12" t="s">
        <v>1001</v>
      </c>
      <c r="R395" s="30">
        <v>3</v>
      </c>
      <c r="S395" s="28">
        <v>12</v>
      </c>
      <c r="T395" s="28">
        <v>4</v>
      </c>
      <c r="U395" s="28">
        <v>1</v>
      </c>
      <c r="V395" s="28">
        <v>1</v>
      </c>
      <c r="W395" s="11" t="s">
        <v>599</v>
      </c>
      <c r="X395" s="11"/>
      <c r="Y395" s="10"/>
      <c r="Z395" s="10"/>
    </row>
    <row r="396" spans="1:26" ht="26.25" customHeight="1" x14ac:dyDescent="0.25">
      <c r="A396" t="s">
        <v>1129</v>
      </c>
      <c r="B396" t="str">
        <f t="shared" si="49"/>
        <v>....</v>
      </c>
      <c r="C396" t="str">
        <f t="shared" si="48"/>
        <v>Bertambah</v>
      </c>
      <c r="D396" t="str">
        <f t="shared" si="50"/>
        <v>......</v>
      </c>
      <c r="E396" s="12" t="s">
        <v>1002</v>
      </c>
      <c r="F396" s="4"/>
      <c r="G396" s="4"/>
      <c r="H396" s="4"/>
      <c r="I396" s="5"/>
      <c r="J396" s="4"/>
      <c r="K396" s="5"/>
      <c r="L396" s="5"/>
      <c r="M396" s="6"/>
      <c r="N396" s="6" t="str">
        <f t="shared" ref="N396:N399" si="51">TRIM(M396)</f>
        <v/>
      </c>
      <c r="O396" t="b">
        <f>M396=W396</f>
        <v>1</v>
      </c>
      <c r="Q396" s="12" t="s">
        <v>1002</v>
      </c>
      <c r="R396" s="27"/>
      <c r="S396" s="28"/>
      <c r="T396" s="28"/>
      <c r="U396" s="28"/>
      <c r="V396" s="28"/>
      <c r="W396" s="11"/>
      <c r="X396" t="str">
        <f t="shared" ref="X396:X399" si="52">TRIM(W396)</f>
        <v/>
      </c>
      <c r="Y396" s="13"/>
      <c r="Z396" s="13"/>
    </row>
    <row r="397" spans="1:26" ht="26.25" customHeight="1" x14ac:dyDescent="0.25">
      <c r="A397" t="s">
        <v>1364</v>
      </c>
      <c r="B397" t="str">
        <f t="shared" si="49"/>
        <v>3.12.2.*.*</v>
      </c>
      <c r="C397" t="str">
        <f t="shared" si="48"/>
        <v>Berubah</v>
      </c>
      <c r="D397" t="str">
        <f t="shared" si="50"/>
        <v>1.3.3.02.01..</v>
      </c>
      <c r="E397" s="12" t="s">
        <v>1003</v>
      </c>
      <c r="F397" s="17">
        <v>1</v>
      </c>
      <c r="G397" s="17">
        <v>3</v>
      </c>
      <c r="H397" s="17">
        <v>3</v>
      </c>
      <c r="I397" s="18" t="s">
        <v>24</v>
      </c>
      <c r="J397" s="18" t="s">
        <v>10</v>
      </c>
      <c r="K397" s="18"/>
      <c r="L397" s="18"/>
      <c r="M397" s="19" t="s">
        <v>345</v>
      </c>
      <c r="N397" s="19" t="str">
        <f t="shared" si="51"/>
        <v>CANDI/TUGU PERINGATAN/PRASASTI</v>
      </c>
      <c r="O397" t="b">
        <f>M397=W397</f>
        <v>0</v>
      </c>
      <c r="Q397" s="12" t="s">
        <v>1003</v>
      </c>
      <c r="R397" s="27">
        <v>3</v>
      </c>
      <c r="S397" s="28">
        <v>12</v>
      </c>
      <c r="T397" s="28">
        <v>2</v>
      </c>
      <c r="U397" s="28" t="s">
        <v>411</v>
      </c>
      <c r="V397" s="28" t="s">
        <v>411</v>
      </c>
      <c r="W397" s="11" t="s">
        <v>594</v>
      </c>
      <c r="X397" t="str">
        <f t="shared" si="52"/>
        <v>TUGU PERINGATAN</v>
      </c>
      <c r="Y397" s="13" t="s">
        <v>595</v>
      </c>
      <c r="Z397" s="13">
        <v>1</v>
      </c>
    </row>
    <row r="398" spans="1:26" ht="26.25" customHeight="1" x14ac:dyDescent="0.25">
      <c r="A398" t="s">
        <v>1365</v>
      </c>
      <c r="B398" t="str">
        <f t="shared" si="49"/>
        <v>3.12.2.1.*</v>
      </c>
      <c r="C398" t="str">
        <f t="shared" si="48"/>
        <v>Keluar</v>
      </c>
      <c r="D398" t="str">
        <f t="shared" si="50"/>
        <v>......</v>
      </c>
      <c r="E398" s="12" t="s">
        <v>1004</v>
      </c>
      <c r="F398" s="17"/>
      <c r="G398" s="17"/>
      <c r="H398" s="17"/>
      <c r="I398" s="18"/>
      <c r="J398" s="18"/>
      <c r="K398" s="18"/>
      <c r="L398" s="18"/>
      <c r="M398" s="19"/>
      <c r="N398" s="19" t="str">
        <f t="shared" si="51"/>
        <v/>
      </c>
      <c r="O398" t="b">
        <f>M398=W398</f>
        <v>0</v>
      </c>
      <c r="Q398" s="12" t="s">
        <v>1004</v>
      </c>
      <c r="R398" s="27">
        <v>3</v>
      </c>
      <c r="S398" s="28">
        <v>12</v>
      </c>
      <c r="T398" s="28">
        <v>2</v>
      </c>
      <c r="U398" s="28">
        <v>1</v>
      </c>
      <c r="V398" s="28" t="s">
        <v>411</v>
      </c>
      <c r="W398" s="11" t="s">
        <v>349</v>
      </c>
      <c r="X398" t="str">
        <f t="shared" si="52"/>
        <v>Tugu Kemerdekaan</v>
      </c>
      <c r="Y398" s="13" t="s">
        <v>595</v>
      </c>
      <c r="Z398" s="13">
        <v>2</v>
      </c>
    </row>
    <row r="399" spans="1:26" ht="26.25" customHeight="1" x14ac:dyDescent="0.25">
      <c r="A399" t="s">
        <v>1366</v>
      </c>
      <c r="B399" t="str">
        <f t="shared" si="49"/>
        <v>3.12.2.1.1</v>
      </c>
      <c r="C399" t="str">
        <f t="shared" si="48"/>
        <v>Keluar</v>
      </c>
      <c r="D399" t="str">
        <f t="shared" si="50"/>
        <v>......</v>
      </c>
      <c r="E399" s="12" t="s">
        <v>1005</v>
      </c>
      <c r="F399" s="17"/>
      <c r="G399" s="17"/>
      <c r="H399" s="17"/>
      <c r="I399" s="18"/>
      <c r="J399" s="18"/>
      <c r="K399" s="18"/>
      <c r="L399" s="18"/>
      <c r="M399" s="19"/>
      <c r="N399" s="19" t="str">
        <f t="shared" si="51"/>
        <v/>
      </c>
      <c r="O399" t="b">
        <f>M399=W399</f>
        <v>0</v>
      </c>
      <c r="Q399" s="12" t="s">
        <v>1005</v>
      </c>
      <c r="R399" s="27">
        <v>3</v>
      </c>
      <c r="S399" s="28">
        <v>12</v>
      </c>
      <c r="T399" s="28">
        <v>2</v>
      </c>
      <c r="U399" s="28">
        <v>1</v>
      </c>
      <c r="V399" s="28">
        <v>1</v>
      </c>
      <c r="W399" s="11" t="s">
        <v>349</v>
      </c>
      <c r="X399" t="str">
        <f t="shared" si="52"/>
        <v>Tugu Kemerdekaan</v>
      </c>
      <c r="Y399" s="13" t="s">
        <v>595</v>
      </c>
      <c r="Z399" s="13">
        <v>3</v>
      </c>
    </row>
    <row r="400" spans="1:26" ht="26.25" customHeight="1" x14ac:dyDescent="0.25">
      <c r="A400" t="s">
        <v>1367</v>
      </c>
      <c r="B400" t="str">
        <f t="shared" si="49"/>
        <v>3.12.2.1.2</v>
      </c>
      <c r="C400" t="str">
        <f t="shared" si="48"/>
        <v>Keluar</v>
      </c>
      <c r="D400" t="str">
        <f t="shared" si="50"/>
        <v>......</v>
      </c>
      <c r="E400" s="12" t="s">
        <v>1006</v>
      </c>
      <c r="F400" s="4"/>
      <c r="G400" s="4"/>
      <c r="H400" s="17"/>
      <c r="I400" s="18"/>
      <c r="J400" s="18"/>
      <c r="K400" s="18"/>
      <c r="L400" s="18"/>
      <c r="M400" s="19"/>
      <c r="N400" s="6"/>
      <c r="O400" t="b">
        <f>M400=W401</f>
        <v>1</v>
      </c>
      <c r="Q400" s="12" t="s">
        <v>1006</v>
      </c>
      <c r="R400" s="27">
        <v>3</v>
      </c>
      <c r="S400" s="28">
        <v>12</v>
      </c>
      <c r="T400" s="28">
        <v>2</v>
      </c>
      <c r="U400" s="28">
        <v>1</v>
      </c>
      <c r="V400" s="28">
        <v>2</v>
      </c>
      <c r="W400" s="11" t="s">
        <v>415</v>
      </c>
      <c r="X400" s="11"/>
      <c r="Y400" s="13" t="s">
        <v>595</v>
      </c>
      <c r="Z400" s="13">
        <v>4</v>
      </c>
    </row>
    <row r="401" spans="1:26" ht="26.25" customHeight="1" x14ac:dyDescent="0.25">
      <c r="A401" t="s">
        <v>1129</v>
      </c>
      <c r="B401" t="str">
        <f t="shared" si="49"/>
        <v>....</v>
      </c>
      <c r="C401" t="str">
        <f t="shared" si="48"/>
        <v>Bertambah</v>
      </c>
      <c r="D401" t="str">
        <f t="shared" si="50"/>
        <v>......</v>
      </c>
      <c r="E401" s="12" t="s">
        <v>1007</v>
      </c>
      <c r="F401" s="4"/>
      <c r="G401" s="4"/>
      <c r="H401" s="4"/>
      <c r="I401" s="5"/>
      <c r="J401" s="5"/>
      <c r="K401" s="5"/>
      <c r="L401" s="5"/>
      <c r="M401" s="6"/>
      <c r="N401" s="6" t="str">
        <f t="shared" ref="N401:N407" si="53">TRIM(M401)</f>
        <v/>
      </c>
      <c r="O401" t="b">
        <f t="shared" ref="O401:O407" si="54">M401=W401</f>
        <v>1</v>
      </c>
      <c r="Q401" s="12" t="s">
        <v>1007</v>
      </c>
      <c r="R401" s="27"/>
      <c r="S401" s="28"/>
      <c r="T401" s="28"/>
      <c r="U401" s="28"/>
      <c r="V401" s="28"/>
      <c r="W401" s="11"/>
      <c r="X401" t="str">
        <f t="shared" ref="X401:X407" si="55">TRIM(W401)</f>
        <v/>
      </c>
      <c r="Y401" s="13"/>
      <c r="Z401" s="13"/>
    </row>
    <row r="402" spans="1:26" ht="26.25" customHeight="1" x14ac:dyDescent="0.25">
      <c r="A402" t="s">
        <v>1368</v>
      </c>
      <c r="B402" t="str">
        <f t="shared" si="49"/>
        <v>3.12.3.*.*</v>
      </c>
      <c r="C402" t="str">
        <f t="shared" si="48"/>
        <v>Berubah</v>
      </c>
      <c r="D402" t="str">
        <f t="shared" si="50"/>
        <v>1.3.3.02.01.01.</v>
      </c>
      <c r="E402" s="12" t="s">
        <v>1008</v>
      </c>
      <c r="F402" s="4">
        <v>1</v>
      </c>
      <c r="G402" s="4">
        <v>3</v>
      </c>
      <c r="H402" s="4">
        <v>3</v>
      </c>
      <c r="I402" s="5" t="s">
        <v>24</v>
      </c>
      <c r="J402" s="5" t="s">
        <v>10</v>
      </c>
      <c r="K402" s="5" t="s">
        <v>10</v>
      </c>
      <c r="L402" s="5"/>
      <c r="M402" s="6" t="s">
        <v>346</v>
      </c>
      <c r="N402" s="6" t="str">
        <f t="shared" si="53"/>
        <v>CANDI</v>
      </c>
      <c r="O402" t="b">
        <f t="shared" si="54"/>
        <v>1</v>
      </c>
      <c r="Q402" s="12" t="s">
        <v>1008</v>
      </c>
      <c r="R402" s="27">
        <v>3</v>
      </c>
      <c r="S402" s="28">
        <v>12</v>
      </c>
      <c r="T402" s="28">
        <v>3</v>
      </c>
      <c r="U402" s="28" t="s">
        <v>411</v>
      </c>
      <c r="V402" s="28" t="s">
        <v>411</v>
      </c>
      <c r="W402" s="11" t="s">
        <v>346</v>
      </c>
      <c r="X402" t="str">
        <f t="shared" si="55"/>
        <v>CANDI</v>
      </c>
      <c r="Y402" s="13" t="s">
        <v>595</v>
      </c>
      <c r="Z402" s="13">
        <v>11</v>
      </c>
    </row>
    <row r="403" spans="1:26" ht="26.25" customHeight="1" x14ac:dyDescent="0.25">
      <c r="A403" t="s">
        <v>1369</v>
      </c>
      <c r="B403" t="str">
        <f t="shared" si="49"/>
        <v>3.12.3.1.*</v>
      </c>
      <c r="C403" t="str">
        <f t="shared" si="48"/>
        <v>Berubah</v>
      </c>
      <c r="D403" t="str">
        <f t="shared" si="50"/>
        <v>1.3.3.02.01.01.001</v>
      </c>
      <c r="E403" s="12" t="s">
        <v>1009</v>
      </c>
      <c r="F403" s="4">
        <v>1</v>
      </c>
      <c r="G403" s="4">
        <v>3</v>
      </c>
      <c r="H403" s="4">
        <v>3</v>
      </c>
      <c r="I403" s="5" t="s">
        <v>24</v>
      </c>
      <c r="J403" s="5" t="s">
        <v>10</v>
      </c>
      <c r="K403" s="5" t="s">
        <v>10</v>
      </c>
      <c r="L403" s="5" t="s">
        <v>14</v>
      </c>
      <c r="M403" s="6" t="s">
        <v>347</v>
      </c>
      <c r="N403" s="6" t="str">
        <f t="shared" si="53"/>
        <v>Candi</v>
      </c>
      <c r="O403" t="b">
        <f t="shared" si="54"/>
        <v>0</v>
      </c>
      <c r="Q403" s="12" t="s">
        <v>1009</v>
      </c>
      <c r="R403" s="27">
        <v>3</v>
      </c>
      <c r="S403" s="28">
        <v>12</v>
      </c>
      <c r="T403" s="28">
        <v>3</v>
      </c>
      <c r="U403" s="28">
        <v>1</v>
      </c>
      <c r="V403" s="28" t="s">
        <v>411</v>
      </c>
      <c r="W403" s="11" t="s">
        <v>596</v>
      </c>
      <c r="X403" t="str">
        <f t="shared" si="55"/>
        <v>Candi Hindu</v>
      </c>
      <c r="Y403" s="13" t="s">
        <v>595</v>
      </c>
      <c r="Z403" s="13">
        <v>12</v>
      </c>
    </row>
    <row r="404" spans="1:26" ht="26.25" customHeight="1" x14ac:dyDescent="0.25">
      <c r="A404" t="s">
        <v>1370</v>
      </c>
      <c r="B404" t="str">
        <f t="shared" si="49"/>
        <v>3.12.3.1.1</v>
      </c>
      <c r="C404" t="str">
        <f t="shared" si="48"/>
        <v>Keluar</v>
      </c>
      <c r="D404" t="str">
        <f t="shared" si="50"/>
        <v>......</v>
      </c>
      <c r="E404" s="12" t="s">
        <v>1010</v>
      </c>
      <c r="F404" s="22"/>
      <c r="G404" s="22"/>
      <c r="H404" s="22"/>
      <c r="I404" s="22"/>
      <c r="J404" s="22"/>
      <c r="K404" s="22"/>
      <c r="L404" s="22"/>
      <c r="M404" s="23"/>
      <c r="N404" s="19" t="str">
        <f t="shared" si="53"/>
        <v/>
      </c>
      <c r="O404" t="b">
        <f t="shared" si="54"/>
        <v>0</v>
      </c>
      <c r="Q404" s="12" t="s">
        <v>1010</v>
      </c>
      <c r="R404" s="27">
        <v>3</v>
      </c>
      <c r="S404" s="28">
        <v>12</v>
      </c>
      <c r="T404" s="28">
        <v>3</v>
      </c>
      <c r="U404" s="28">
        <v>1</v>
      </c>
      <c r="V404" s="28">
        <v>1</v>
      </c>
      <c r="W404" s="11" t="s">
        <v>596</v>
      </c>
      <c r="X404" t="str">
        <f t="shared" si="55"/>
        <v>Candi Hindu</v>
      </c>
      <c r="Y404" s="13" t="s">
        <v>595</v>
      </c>
      <c r="Z404" s="13">
        <v>13</v>
      </c>
    </row>
    <row r="405" spans="1:26" ht="26.25" customHeight="1" x14ac:dyDescent="0.25">
      <c r="A405" t="s">
        <v>1371</v>
      </c>
      <c r="B405" t="str">
        <f t="shared" si="49"/>
        <v>3.12.3.1.2</v>
      </c>
      <c r="C405" t="str">
        <f t="shared" si="48"/>
        <v>Keluar</v>
      </c>
      <c r="D405" t="str">
        <f t="shared" si="50"/>
        <v>......</v>
      </c>
      <c r="E405" s="12" t="s">
        <v>1011</v>
      </c>
      <c r="F405" s="22"/>
      <c r="G405" s="22"/>
      <c r="H405" s="22"/>
      <c r="I405" s="22"/>
      <c r="J405" s="22"/>
      <c r="K405" s="22"/>
      <c r="L405" s="22"/>
      <c r="M405" s="23"/>
      <c r="N405" s="19" t="str">
        <f t="shared" si="53"/>
        <v/>
      </c>
      <c r="O405" t="b">
        <f t="shared" si="54"/>
        <v>0</v>
      </c>
      <c r="Q405" s="12" t="s">
        <v>1011</v>
      </c>
      <c r="R405" s="27">
        <v>3</v>
      </c>
      <c r="S405" s="28">
        <v>12</v>
      </c>
      <c r="T405" s="28">
        <v>3</v>
      </c>
      <c r="U405" s="28">
        <v>1</v>
      </c>
      <c r="V405" s="28">
        <v>2</v>
      </c>
      <c r="W405" s="11" t="s">
        <v>415</v>
      </c>
      <c r="X405" t="str">
        <f t="shared" si="55"/>
        <v>Lain-lain</v>
      </c>
      <c r="Y405" s="13" t="s">
        <v>595</v>
      </c>
      <c r="Z405" s="13">
        <v>14</v>
      </c>
    </row>
    <row r="406" spans="1:26" ht="26.25" customHeight="1" x14ac:dyDescent="0.25">
      <c r="A406" t="s">
        <v>1372</v>
      </c>
      <c r="B406" t="str">
        <f t="shared" si="49"/>
        <v>3.12.3.2.*</v>
      </c>
      <c r="C406" t="str">
        <f t="shared" si="48"/>
        <v>Keluar</v>
      </c>
      <c r="D406" t="str">
        <f t="shared" si="50"/>
        <v>......</v>
      </c>
      <c r="E406" s="12" t="s">
        <v>1012</v>
      </c>
      <c r="F406" s="17"/>
      <c r="G406" s="17"/>
      <c r="H406" s="17"/>
      <c r="I406" s="18"/>
      <c r="J406" s="18"/>
      <c r="K406" s="18"/>
      <c r="L406" s="18"/>
      <c r="M406" s="19"/>
      <c r="N406" s="19" t="str">
        <f t="shared" si="53"/>
        <v/>
      </c>
      <c r="O406" t="b">
        <f t="shared" si="54"/>
        <v>0</v>
      </c>
      <c r="Q406" s="12" t="s">
        <v>1012</v>
      </c>
      <c r="R406" s="27">
        <v>3</v>
      </c>
      <c r="S406" s="28">
        <v>12</v>
      </c>
      <c r="T406" s="28">
        <v>3</v>
      </c>
      <c r="U406" s="28">
        <v>2</v>
      </c>
      <c r="V406" s="28" t="s">
        <v>411</v>
      </c>
      <c r="W406" s="11" t="s">
        <v>597</v>
      </c>
      <c r="X406" t="str">
        <f t="shared" si="55"/>
        <v>Candi Bhuda</v>
      </c>
      <c r="Y406" s="13" t="s">
        <v>595</v>
      </c>
      <c r="Z406" s="13">
        <v>15</v>
      </c>
    </row>
    <row r="407" spans="1:26" ht="26.25" customHeight="1" x14ac:dyDescent="0.25">
      <c r="A407" t="s">
        <v>1373</v>
      </c>
      <c r="B407" t="str">
        <f t="shared" si="49"/>
        <v>3.12.3.2.1</v>
      </c>
      <c r="C407" t="str">
        <f t="shared" si="48"/>
        <v>Keluar</v>
      </c>
      <c r="D407" t="str">
        <f t="shared" si="50"/>
        <v>......</v>
      </c>
      <c r="E407" s="12" t="s">
        <v>1013</v>
      </c>
      <c r="F407" s="17"/>
      <c r="G407" s="17"/>
      <c r="H407" s="17"/>
      <c r="I407" s="18"/>
      <c r="J407" s="18"/>
      <c r="K407" s="18"/>
      <c r="L407" s="18"/>
      <c r="M407" s="19"/>
      <c r="N407" s="19" t="str">
        <f t="shared" si="53"/>
        <v/>
      </c>
      <c r="O407" t="b">
        <f t="shared" si="54"/>
        <v>0</v>
      </c>
      <c r="Q407" s="12" t="s">
        <v>1013</v>
      </c>
      <c r="R407" s="27">
        <v>3</v>
      </c>
      <c r="S407" s="28">
        <v>12</v>
      </c>
      <c r="T407" s="28">
        <v>3</v>
      </c>
      <c r="U407" s="28">
        <v>2</v>
      </c>
      <c r="V407" s="28">
        <v>1</v>
      </c>
      <c r="W407" s="11" t="s">
        <v>597</v>
      </c>
      <c r="X407" t="str">
        <f t="shared" si="55"/>
        <v>Candi Bhuda</v>
      </c>
      <c r="Y407" s="13" t="s">
        <v>595</v>
      </c>
      <c r="Z407" s="13">
        <v>16</v>
      </c>
    </row>
    <row r="408" spans="1:26" ht="26.25" customHeight="1" x14ac:dyDescent="0.25">
      <c r="A408" t="s">
        <v>1374</v>
      </c>
      <c r="B408" t="str">
        <f t="shared" si="49"/>
        <v>3.12.3.2.2</v>
      </c>
      <c r="C408" t="str">
        <f t="shared" si="48"/>
        <v>Keluar</v>
      </c>
      <c r="D408" t="str">
        <f t="shared" si="50"/>
        <v>......</v>
      </c>
      <c r="E408" s="12" t="s">
        <v>1014</v>
      </c>
      <c r="F408" s="4"/>
      <c r="G408" s="4"/>
      <c r="H408" s="4"/>
      <c r="I408" s="5"/>
      <c r="J408" s="5"/>
      <c r="K408" s="5"/>
      <c r="L408" s="5"/>
      <c r="M408" s="6"/>
      <c r="N408" s="6"/>
      <c r="O408" t="b">
        <f>M408=W409</f>
        <v>1</v>
      </c>
      <c r="Q408" s="12" t="s">
        <v>1014</v>
      </c>
      <c r="R408" s="27">
        <v>3</v>
      </c>
      <c r="S408" s="28">
        <v>12</v>
      </c>
      <c r="T408" s="28">
        <v>3</v>
      </c>
      <c r="U408" s="28">
        <v>2</v>
      </c>
      <c r="V408" s="28">
        <v>2</v>
      </c>
      <c r="W408" s="11" t="s">
        <v>415</v>
      </c>
      <c r="X408" s="11"/>
      <c r="Y408" s="13" t="s">
        <v>595</v>
      </c>
      <c r="Z408" s="13">
        <v>17</v>
      </c>
    </row>
    <row r="409" spans="1:26" ht="26.25" customHeight="1" x14ac:dyDescent="0.25">
      <c r="A409" t="s">
        <v>1375</v>
      </c>
      <c r="B409" t="str">
        <f t="shared" si="49"/>
        <v xml:space="preserve">.. . . </v>
      </c>
      <c r="C409" t="str">
        <f t="shared" si="48"/>
        <v>Bertambah</v>
      </c>
      <c r="D409" t="str">
        <f t="shared" si="50"/>
        <v>......</v>
      </c>
      <c r="E409" s="12" t="s">
        <v>1015</v>
      </c>
      <c r="F409" s="4"/>
      <c r="G409" s="4"/>
      <c r="H409" s="4"/>
      <c r="I409" s="5"/>
      <c r="J409" s="5"/>
      <c r="K409" s="5"/>
      <c r="L409" s="5"/>
      <c r="M409" s="6"/>
      <c r="N409" s="6" t="str">
        <f t="shared" ref="N409:N411" si="56">TRIM(M409)</f>
        <v/>
      </c>
      <c r="O409" t="b">
        <f>M409=W409</f>
        <v>1</v>
      </c>
      <c r="Q409" s="12" t="s">
        <v>1015</v>
      </c>
      <c r="R409" s="27"/>
      <c r="S409" s="28"/>
      <c r="T409" s="28" t="s">
        <v>416</v>
      </c>
      <c r="U409" s="28" t="s">
        <v>416</v>
      </c>
      <c r="V409" s="28" t="s">
        <v>416</v>
      </c>
      <c r="W409" s="11"/>
      <c r="X409" t="str">
        <f t="shared" ref="X409:X411" si="57">TRIM(W409)</f>
        <v/>
      </c>
      <c r="Y409" s="13"/>
      <c r="Z409" s="13"/>
    </row>
    <row r="410" spans="1:26" ht="26.25" customHeight="1" x14ac:dyDescent="0.25">
      <c r="A410" t="s">
        <v>1376</v>
      </c>
      <c r="B410" t="str">
        <f t="shared" si="49"/>
        <v>3.12.3.3.*</v>
      </c>
      <c r="C410" t="str">
        <f t="shared" si="48"/>
        <v>Berubah</v>
      </c>
      <c r="D410" t="str">
        <f t="shared" si="50"/>
        <v>1.3.3.02.01.01.002</v>
      </c>
      <c r="E410" s="12" t="s">
        <v>1016</v>
      </c>
      <c r="F410" s="4">
        <v>1</v>
      </c>
      <c r="G410" s="4">
        <v>3</v>
      </c>
      <c r="H410" s="4">
        <v>3</v>
      </c>
      <c r="I410" s="5" t="s">
        <v>24</v>
      </c>
      <c r="J410" s="5" t="s">
        <v>10</v>
      </c>
      <c r="K410" s="5" t="s">
        <v>10</v>
      </c>
      <c r="L410" s="5" t="s">
        <v>16</v>
      </c>
      <c r="M410" s="6" t="s">
        <v>23</v>
      </c>
      <c r="N410" s="6" t="str">
        <f t="shared" si="56"/>
        <v>Dst….</v>
      </c>
      <c r="O410" t="b">
        <f>M410=W410</f>
        <v>0</v>
      </c>
      <c r="Q410" s="12" t="s">
        <v>1016</v>
      </c>
      <c r="R410" s="27">
        <v>3</v>
      </c>
      <c r="S410" s="28">
        <v>12</v>
      </c>
      <c r="T410" s="28">
        <v>3</v>
      </c>
      <c r="U410" s="28">
        <v>3</v>
      </c>
      <c r="V410" s="28" t="s">
        <v>411</v>
      </c>
      <c r="W410" s="11" t="s">
        <v>598</v>
      </c>
      <c r="X410" t="str">
        <f t="shared" si="57"/>
        <v>Candi Lainnya</v>
      </c>
      <c r="Y410" s="13" t="s">
        <v>595</v>
      </c>
      <c r="Z410" s="13">
        <v>18</v>
      </c>
    </row>
    <row r="411" spans="1:26" ht="26.25" customHeight="1" x14ac:dyDescent="0.25">
      <c r="A411" t="s">
        <v>1377</v>
      </c>
      <c r="B411" t="str">
        <f t="shared" si="49"/>
        <v>3.12.3.3.1</v>
      </c>
      <c r="C411" t="str">
        <f t="shared" si="48"/>
        <v>Keluar</v>
      </c>
      <c r="D411" t="str">
        <f t="shared" si="50"/>
        <v>......</v>
      </c>
      <c r="E411" s="12" t="s">
        <v>1017</v>
      </c>
      <c r="F411" s="17"/>
      <c r="G411" s="17"/>
      <c r="H411" s="17"/>
      <c r="I411" s="18"/>
      <c r="J411" s="18"/>
      <c r="K411" s="18"/>
      <c r="L411" s="18"/>
      <c r="M411" s="19"/>
      <c r="N411" s="19" t="str">
        <f t="shared" si="56"/>
        <v/>
      </c>
      <c r="O411" t="b">
        <f>M411=W411</f>
        <v>0</v>
      </c>
      <c r="Q411" s="12" t="s">
        <v>1017</v>
      </c>
      <c r="R411" s="27">
        <v>3</v>
      </c>
      <c r="S411" s="28">
        <v>12</v>
      </c>
      <c r="T411" s="28">
        <v>3</v>
      </c>
      <c r="U411" s="28">
        <v>3</v>
      </c>
      <c r="V411" s="28">
        <v>1</v>
      </c>
      <c r="W411" s="11" t="s">
        <v>598</v>
      </c>
      <c r="X411" t="str">
        <f t="shared" si="57"/>
        <v>Candi Lainnya</v>
      </c>
      <c r="Y411" s="13" t="s">
        <v>595</v>
      </c>
      <c r="Z411" s="13">
        <v>19</v>
      </c>
    </row>
    <row r="412" spans="1:26" ht="26.25" customHeight="1" x14ac:dyDescent="0.25">
      <c r="A412" t="s">
        <v>1378</v>
      </c>
      <c r="B412" t="str">
        <f t="shared" si="49"/>
        <v>3.12.3.3.2</v>
      </c>
      <c r="C412" t="str">
        <f t="shared" si="48"/>
        <v>Keluar</v>
      </c>
      <c r="D412" t="str">
        <f t="shared" si="50"/>
        <v>......</v>
      </c>
      <c r="E412" s="12" t="s">
        <v>1018</v>
      </c>
      <c r="F412" s="4"/>
      <c r="G412" s="4"/>
      <c r="H412" s="4"/>
      <c r="I412" s="5"/>
      <c r="J412" s="5"/>
      <c r="K412" s="5"/>
      <c r="L412" s="5"/>
      <c r="M412" s="6"/>
      <c r="N412" s="6" t="s">
        <v>352</v>
      </c>
      <c r="O412" t="b">
        <f>M412=W413</f>
        <v>1</v>
      </c>
      <c r="Q412" s="12" t="s">
        <v>1018</v>
      </c>
      <c r="R412" s="27">
        <v>3</v>
      </c>
      <c r="S412" s="28">
        <v>12</v>
      </c>
      <c r="T412" s="28">
        <v>3</v>
      </c>
      <c r="U412" s="28">
        <v>3</v>
      </c>
      <c r="V412" s="28">
        <v>2</v>
      </c>
      <c r="W412" s="11" t="s">
        <v>415</v>
      </c>
      <c r="X412" s="11"/>
      <c r="Y412" s="13" t="s">
        <v>595</v>
      </c>
      <c r="Z412" s="13">
        <v>20</v>
      </c>
    </row>
    <row r="413" spans="1:26" ht="26.25" customHeight="1" x14ac:dyDescent="0.25">
      <c r="A413" t="s">
        <v>1129</v>
      </c>
      <c r="B413" t="str">
        <f t="shared" si="49"/>
        <v>....</v>
      </c>
      <c r="C413" t="str">
        <f t="shared" si="48"/>
        <v>Bertambah</v>
      </c>
      <c r="D413" t="str">
        <f t="shared" si="50"/>
        <v>......</v>
      </c>
      <c r="E413" s="12" t="s">
        <v>1019</v>
      </c>
      <c r="F413" s="4"/>
      <c r="G413" s="4"/>
      <c r="H413" s="4"/>
      <c r="I413" s="5"/>
      <c r="J413" s="5"/>
      <c r="K413" s="5"/>
      <c r="L413" s="5"/>
      <c r="M413" s="6"/>
      <c r="N413" s="6" t="str">
        <f t="shared" ref="N413:N414" si="58">TRIM(M413)</f>
        <v/>
      </c>
      <c r="O413" t="b">
        <f>M413=W413</f>
        <v>1</v>
      </c>
      <c r="Q413" s="12" t="s">
        <v>1019</v>
      </c>
      <c r="R413" s="27"/>
      <c r="S413" s="28"/>
      <c r="T413" s="28"/>
      <c r="U413" s="28"/>
      <c r="V413" s="28"/>
      <c r="W413" s="11"/>
      <c r="X413" t="str">
        <f t="shared" ref="X413:X414" si="59">TRIM(W413)</f>
        <v/>
      </c>
      <c r="Y413" s="13"/>
      <c r="Z413" s="13"/>
    </row>
    <row r="414" spans="1:26" ht="26.25" customHeight="1" x14ac:dyDescent="0.25">
      <c r="A414" t="s">
        <v>1364</v>
      </c>
      <c r="B414" t="str">
        <f t="shared" si="49"/>
        <v>3.12.2.*.*</v>
      </c>
      <c r="C414" t="str">
        <f t="shared" si="48"/>
        <v>Berubah</v>
      </c>
      <c r="D414" t="str">
        <f t="shared" si="50"/>
        <v>1.3.3.02.01.02.</v>
      </c>
      <c r="E414" s="12" t="s">
        <v>1020</v>
      </c>
      <c r="F414" s="4">
        <v>1</v>
      </c>
      <c r="G414" s="4">
        <v>3</v>
      </c>
      <c r="H414" s="4">
        <v>3</v>
      </c>
      <c r="I414" s="5" t="s">
        <v>24</v>
      </c>
      <c r="J414" s="5" t="s">
        <v>10</v>
      </c>
      <c r="K414" s="5" t="s">
        <v>24</v>
      </c>
      <c r="L414" s="5"/>
      <c r="M414" s="6" t="s">
        <v>348</v>
      </c>
      <c r="N414" s="6" t="str">
        <f t="shared" si="58"/>
        <v>TUGU</v>
      </c>
      <c r="O414" t="b">
        <f>M414=W414</f>
        <v>0</v>
      </c>
      <c r="Q414" s="12" t="s">
        <v>1020</v>
      </c>
      <c r="R414" s="27">
        <v>3</v>
      </c>
      <c r="S414" s="28">
        <v>12</v>
      </c>
      <c r="T414" s="28">
        <v>2</v>
      </c>
      <c r="U414" s="28" t="s">
        <v>411</v>
      </c>
      <c r="V414" s="28" t="s">
        <v>411</v>
      </c>
      <c r="W414" s="11" t="s">
        <v>594</v>
      </c>
      <c r="X414" t="str">
        <f t="shared" si="59"/>
        <v>TUGU PERINGATAN</v>
      </c>
      <c r="Y414" s="13" t="s">
        <v>595</v>
      </c>
      <c r="Z414" s="13">
        <v>21</v>
      </c>
    </row>
    <row r="415" spans="1:26" ht="26.25" customHeight="1" x14ac:dyDescent="0.25">
      <c r="A415" t="s">
        <v>1365</v>
      </c>
      <c r="B415" t="str">
        <f t="shared" si="49"/>
        <v>3.12.2.1.*</v>
      </c>
      <c r="C415" t="str">
        <f t="shared" si="48"/>
        <v>Berubah</v>
      </c>
      <c r="D415" t="str">
        <f t="shared" si="50"/>
        <v>1.3.3.02.01.02.001</v>
      </c>
      <c r="E415" s="12" t="s">
        <v>1021</v>
      </c>
      <c r="F415" s="4">
        <v>1</v>
      </c>
      <c r="G415" s="4">
        <v>3</v>
      </c>
      <c r="H415" s="4">
        <v>3</v>
      </c>
      <c r="I415" s="5" t="s">
        <v>24</v>
      </c>
      <c r="J415" s="5" t="s">
        <v>10</v>
      </c>
      <c r="K415" s="5" t="s">
        <v>24</v>
      </c>
      <c r="L415" s="5" t="s">
        <v>14</v>
      </c>
      <c r="M415" s="6" t="s">
        <v>349</v>
      </c>
      <c r="N415" s="6"/>
      <c r="O415" t="b">
        <f>M415=W416</f>
        <v>1</v>
      </c>
      <c r="Q415" s="12" t="s">
        <v>1021</v>
      </c>
      <c r="R415" s="27">
        <v>3</v>
      </c>
      <c r="S415" s="28">
        <v>12</v>
      </c>
      <c r="T415" s="28">
        <v>2</v>
      </c>
      <c r="U415" s="28">
        <v>1</v>
      </c>
      <c r="V415" s="28" t="s">
        <v>411</v>
      </c>
      <c r="W415" s="11" t="s">
        <v>349</v>
      </c>
      <c r="X415" s="11"/>
      <c r="Y415" s="13" t="s">
        <v>595</v>
      </c>
      <c r="Z415" s="13">
        <v>22</v>
      </c>
    </row>
    <row r="416" spans="1:26" ht="26.25" customHeight="1" x14ac:dyDescent="0.25">
      <c r="A416" t="s">
        <v>1366</v>
      </c>
      <c r="B416" t="str">
        <f t="shared" si="49"/>
        <v>3.12.2.1.1</v>
      </c>
      <c r="C416" t="str">
        <f t="shared" si="48"/>
        <v>Keluar</v>
      </c>
      <c r="D416" t="str">
        <f t="shared" si="50"/>
        <v>......</v>
      </c>
      <c r="E416" s="12" t="s">
        <v>1022</v>
      </c>
      <c r="F416" s="17"/>
      <c r="G416" s="17"/>
      <c r="H416" s="17"/>
      <c r="I416" s="18"/>
      <c r="J416" s="18"/>
      <c r="K416" s="18"/>
      <c r="L416" s="18"/>
      <c r="M416" s="19"/>
      <c r="N416" s="19" t="str">
        <f>TRIM(M416)</f>
        <v/>
      </c>
      <c r="O416" t="b">
        <f>M416=W416</f>
        <v>0</v>
      </c>
      <c r="Q416" s="12" t="s">
        <v>1022</v>
      </c>
      <c r="R416" s="27">
        <v>3</v>
      </c>
      <c r="S416" s="28">
        <v>12</v>
      </c>
      <c r="T416" s="28">
        <v>2</v>
      </c>
      <c r="U416" s="28">
        <v>1</v>
      </c>
      <c r="V416" s="28">
        <v>1</v>
      </c>
      <c r="W416" s="11" t="s">
        <v>349</v>
      </c>
      <c r="X416" t="str">
        <f>TRIM(W416)</f>
        <v>Tugu Kemerdekaan</v>
      </c>
      <c r="Y416" s="13" t="s">
        <v>595</v>
      </c>
      <c r="Z416" s="13">
        <v>23</v>
      </c>
    </row>
    <row r="417" spans="1:26" ht="26.25" customHeight="1" x14ac:dyDescent="0.25">
      <c r="A417" t="s">
        <v>1367</v>
      </c>
      <c r="B417" t="str">
        <f t="shared" si="49"/>
        <v>3.12.2.1.2</v>
      </c>
      <c r="C417" t="str">
        <f t="shared" si="48"/>
        <v>Keluar</v>
      </c>
      <c r="D417" t="str">
        <f t="shared" si="50"/>
        <v>......</v>
      </c>
      <c r="E417" s="12" t="s">
        <v>1023</v>
      </c>
      <c r="F417" s="4"/>
      <c r="G417" s="4"/>
      <c r="H417" s="4"/>
      <c r="I417" s="5"/>
      <c r="J417" s="5"/>
      <c r="K417" s="5"/>
      <c r="L417" s="5"/>
      <c r="M417" s="6"/>
      <c r="N417" s="6" t="s">
        <v>355</v>
      </c>
      <c r="O417" t="b">
        <f>M417=W418</f>
        <v>1</v>
      </c>
      <c r="Q417" s="12" t="s">
        <v>1023</v>
      </c>
      <c r="R417" s="27">
        <v>3</v>
      </c>
      <c r="S417" s="28">
        <v>12</v>
      </c>
      <c r="T417" s="28">
        <v>2</v>
      </c>
      <c r="U417" s="28">
        <v>1</v>
      </c>
      <c r="V417" s="28">
        <v>2</v>
      </c>
      <c r="W417" s="11" t="s">
        <v>415</v>
      </c>
      <c r="X417" s="11"/>
      <c r="Y417" s="13" t="s">
        <v>595</v>
      </c>
      <c r="Z417" s="13">
        <v>24</v>
      </c>
    </row>
    <row r="418" spans="1:26" ht="26.25" customHeight="1" x14ac:dyDescent="0.25">
      <c r="A418" t="s">
        <v>1129</v>
      </c>
      <c r="B418" t="str">
        <f t="shared" si="49"/>
        <v>....</v>
      </c>
      <c r="C418" t="str">
        <f t="shared" si="48"/>
        <v>Bertambah</v>
      </c>
      <c r="D418" t="str">
        <f t="shared" si="50"/>
        <v>......</v>
      </c>
      <c r="E418" s="12" t="s">
        <v>1024</v>
      </c>
      <c r="F418" s="4"/>
      <c r="G418" s="4"/>
      <c r="H418" s="4"/>
      <c r="I418" s="5"/>
      <c r="J418" s="5"/>
      <c r="K418" s="5"/>
      <c r="L418" s="5"/>
      <c r="M418" s="6"/>
      <c r="N418" s="6" t="str">
        <f>TRIM(M418)</f>
        <v/>
      </c>
      <c r="O418" t="b">
        <f>M418=W418</f>
        <v>1</v>
      </c>
      <c r="Q418" s="12" t="s">
        <v>1024</v>
      </c>
      <c r="R418" s="27"/>
      <c r="S418" s="28"/>
      <c r="T418" s="28"/>
      <c r="U418" s="28"/>
      <c r="V418" s="28"/>
      <c r="W418" s="11"/>
      <c r="X418" t="str">
        <f>TRIM(W418)</f>
        <v/>
      </c>
      <c r="Y418" s="13"/>
      <c r="Z418" s="13"/>
    </row>
    <row r="419" spans="1:26" ht="26.25" customHeight="1" x14ac:dyDescent="0.25">
      <c r="A419" t="s">
        <v>1379</v>
      </c>
      <c r="B419" t="str">
        <f t="shared" si="49"/>
        <v>3.12.2.2.*</v>
      </c>
      <c r="C419" t="str">
        <f t="shared" si="48"/>
        <v>Berubah</v>
      </c>
      <c r="D419" t="str">
        <f t="shared" si="50"/>
        <v>1.3.3.02.01.02.002</v>
      </c>
      <c r="E419" s="12" t="s">
        <v>1025</v>
      </c>
      <c r="F419" s="4">
        <v>1</v>
      </c>
      <c r="G419" s="4">
        <v>3</v>
      </c>
      <c r="H419" s="4">
        <v>3</v>
      </c>
      <c r="I419" s="5" t="s">
        <v>24</v>
      </c>
      <c r="J419" s="5" t="s">
        <v>10</v>
      </c>
      <c r="K419" s="5" t="s">
        <v>24</v>
      </c>
      <c r="L419" s="5" t="s">
        <v>16</v>
      </c>
      <c r="M419" s="6" t="s">
        <v>350</v>
      </c>
      <c r="N419" s="6"/>
      <c r="O419" t="b">
        <f>M419=W420</f>
        <v>1</v>
      </c>
      <c r="Q419" s="12" t="s">
        <v>1025</v>
      </c>
      <c r="R419" s="27">
        <v>3</v>
      </c>
      <c r="S419" s="28">
        <v>12</v>
      </c>
      <c r="T419" s="28">
        <v>2</v>
      </c>
      <c r="U419" s="28">
        <v>2</v>
      </c>
      <c r="V419" s="28" t="s">
        <v>411</v>
      </c>
      <c r="W419" s="11" t="s">
        <v>350</v>
      </c>
      <c r="X419" s="11"/>
      <c r="Y419" s="13" t="s">
        <v>595</v>
      </c>
      <c r="Z419" s="13">
        <v>5</v>
      </c>
    </row>
    <row r="420" spans="1:26" ht="26.25" customHeight="1" x14ac:dyDescent="0.25">
      <c r="A420" t="s">
        <v>1380</v>
      </c>
      <c r="B420" t="str">
        <f t="shared" si="49"/>
        <v>3.12.2.2.1</v>
      </c>
      <c r="C420" t="str">
        <f t="shared" si="48"/>
        <v>Keluar</v>
      </c>
      <c r="D420" t="str">
        <f t="shared" si="50"/>
        <v>......</v>
      </c>
      <c r="E420" s="12" t="s">
        <v>1026</v>
      </c>
      <c r="F420" s="17"/>
      <c r="G420" s="17"/>
      <c r="H420" s="17"/>
      <c r="I420" s="18"/>
      <c r="J420" s="18"/>
      <c r="K420" s="18"/>
      <c r="L420" s="18"/>
      <c r="M420" s="19"/>
      <c r="N420" s="19" t="str">
        <f>TRIM(M420)</f>
        <v/>
      </c>
      <c r="O420" t="b">
        <f>M420=W420</f>
        <v>0</v>
      </c>
      <c r="Q420" s="12" t="s">
        <v>1026</v>
      </c>
      <c r="R420" s="27">
        <v>3</v>
      </c>
      <c r="S420" s="28">
        <v>12</v>
      </c>
      <c r="T420" s="28">
        <v>2</v>
      </c>
      <c r="U420" s="28">
        <v>2</v>
      </c>
      <c r="V420" s="28">
        <v>1</v>
      </c>
      <c r="W420" s="11" t="s">
        <v>350</v>
      </c>
      <c r="X420" t="str">
        <f>TRIM(W420)</f>
        <v>Tugu Pembangunan</v>
      </c>
      <c r="Y420" s="13" t="s">
        <v>595</v>
      </c>
      <c r="Z420" s="13">
        <v>6</v>
      </c>
    </row>
    <row r="421" spans="1:26" ht="26.25" customHeight="1" x14ac:dyDescent="0.25">
      <c r="A421" t="s">
        <v>1381</v>
      </c>
      <c r="B421" t="str">
        <f t="shared" si="49"/>
        <v>3.12.2.2.2</v>
      </c>
      <c r="C421" t="str">
        <f t="shared" si="48"/>
        <v>Keluar</v>
      </c>
      <c r="D421" t="str">
        <f t="shared" si="50"/>
        <v>......</v>
      </c>
      <c r="E421" s="12" t="s">
        <v>1027</v>
      </c>
      <c r="F421" s="17"/>
      <c r="G421" s="17"/>
      <c r="H421" s="17"/>
      <c r="I421" s="18"/>
      <c r="J421" s="18"/>
      <c r="K421" s="18"/>
      <c r="L421" s="18"/>
      <c r="M421" s="19"/>
      <c r="N421" s="6"/>
      <c r="O421" t="b">
        <f>M421=W422</f>
        <v>1</v>
      </c>
      <c r="Q421" s="12" t="s">
        <v>1027</v>
      </c>
      <c r="R421" s="27">
        <v>3</v>
      </c>
      <c r="S421" s="28">
        <v>12</v>
      </c>
      <c r="T421" s="28">
        <v>2</v>
      </c>
      <c r="U421" s="28">
        <v>2</v>
      </c>
      <c r="V421" s="28">
        <v>2</v>
      </c>
      <c r="W421" s="11" t="s">
        <v>415</v>
      </c>
      <c r="X421" s="11"/>
      <c r="Y421" s="13" t="s">
        <v>595</v>
      </c>
      <c r="Z421" s="13">
        <v>7</v>
      </c>
    </row>
    <row r="422" spans="1:26" ht="26.25" customHeight="1" x14ac:dyDescent="0.25">
      <c r="A422" t="s">
        <v>1129</v>
      </c>
      <c r="B422" t="str">
        <f t="shared" si="49"/>
        <v>....</v>
      </c>
      <c r="C422" t="str">
        <f t="shared" si="48"/>
        <v>Bertambah</v>
      </c>
      <c r="D422" t="str">
        <f t="shared" si="50"/>
        <v>......</v>
      </c>
      <c r="E422" s="12" t="s">
        <v>1028</v>
      </c>
      <c r="F422" s="4"/>
      <c r="G422" s="4"/>
      <c r="H422" s="4"/>
      <c r="I422" s="5"/>
      <c r="J422" s="5"/>
      <c r="K422" s="5"/>
      <c r="L422" s="5"/>
      <c r="M422" s="6"/>
      <c r="N422" s="6" t="str">
        <f>TRIM(M422)</f>
        <v/>
      </c>
      <c r="O422" t="b">
        <f>M422=W422</f>
        <v>1</v>
      </c>
      <c r="Q422" s="12" t="s">
        <v>1028</v>
      </c>
      <c r="R422" s="27"/>
      <c r="S422" s="28"/>
      <c r="T422" s="28"/>
      <c r="U422" s="28"/>
      <c r="V422" s="28"/>
      <c r="W422" s="11"/>
      <c r="X422" t="str">
        <f>TRIM(W422)</f>
        <v/>
      </c>
      <c r="Y422" s="13"/>
      <c r="Z422" s="13"/>
    </row>
    <row r="423" spans="1:26" ht="26.25" customHeight="1" x14ac:dyDescent="0.25">
      <c r="A423" t="s">
        <v>1382</v>
      </c>
      <c r="B423" t="str">
        <f t="shared" si="49"/>
        <v>3.12.2.3.*</v>
      </c>
      <c r="C423" t="str">
        <f t="shared" si="48"/>
        <v>Berubah</v>
      </c>
      <c r="D423" t="str">
        <f t="shared" si="50"/>
        <v>1.3.3.02.01.02.003</v>
      </c>
      <c r="E423" s="12" t="s">
        <v>1029</v>
      </c>
      <c r="F423" s="4">
        <v>1</v>
      </c>
      <c r="G423" s="4">
        <v>3</v>
      </c>
      <c r="H423" s="4">
        <v>3</v>
      </c>
      <c r="I423" s="5" t="s">
        <v>24</v>
      </c>
      <c r="J423" s="5" t="s">
        <v>10</v>
      </c>
      <c r="K423" s="5" t="s">
        <v>24</v>
      </c>
      <c r="L423" s="5" t="s">
        <v>18</v>
      </c>
      <c r="M423" s="6" t="s">
        <v>351</v>
      </c>
      <c r="N423" s="6"/>
      <c r="O423" t="b">
        <f>M423=W424</f>
        <v>1</v>
      </c>
      <c r="Q423" s="12" t="s">
        <v>1029</v>
      </c>
      <c r="R423" s="27">
        <v>3</v>
      </c>
      <c r="S423" s="28">
        <v>12</v>
      </c>
      <c r="T423" s="28">
        <v>2</v>
      </c>
      <c r="U423" s="28">
        <v>3</v>
      </c>
      <c r="V423" s="28" t="s">
        <v>411</v>
      </c>
      <c r="W423" s="11" t="s">
        <v>351</v>
      </c>
      <c r="X423" s="11"/>
      <c r="Y423" s="13" t="s">
        <v>595</v>
      </c>
      <c r="Z423" s="13">
        <v>8</v>
      </c>
    </row>
    <row r="424" spans="1:26" ht="26.25" customHeight="1" x14ac:dyDescent="0.25">
      <c r="A424" t="s">
        <v>1383</v>
      </c>
      <c r="B424" t="str">
        <f t="shared" si="49"/>
        <v>3.12.2.3.1</v>
      </c>
      <c r="C424" t="str">
        <f t="shared" si="48"/>
        <v>Keluar</v>
      </c>
      <c r="D424" t="str">
        <f t="shared" si="50"/>
        <v>......</v>
      </c>
      <c r="E424" s="12" t="s">
        <v>1030</v>
      </c>
      <c r="F424" s="22"/>
      <c r="G424" s="22"/>
      <c r="H424" s="22"/>
      <c r="I424" s="22"/>
      <c r="J424" s="22"/>
      <c r="K424" s="22"/>
      <c r="L424" s="22"/>
      <c r="M424" s="23"/>
      <c r="N424" s="19" t="str">
        <f t="shared" ref="N424:N429" si="60">TRIM(M424)</f>
        <v/>
      </c>
      <c r="O424" t="b">
        <f t="shared" ref="O424:O429" si="61">M424=W424</f>
        <v>0</v>
      </c>
      <c r="Q424" s="12" t="s">
        <v>1030</v>
      </c>
      <c r="R424" s="27">
        <v>3</v>
      </c>
      <c r="S424" s="28">
        <v>12</v>
      </c>
      <c r="T424" s="28">
        <v>2</v>
      </c>
      <c r="U424" s="28">
        <v>3</v>
      </c>
      <c r="V424" s="28">
        <v>1</v>
      </c>
      <c r="W424" s="11" t="s">
        <v>351</v>
      </c>
      <c r="X424" t="str">
        <f t="shared" ref="X424:X429" si="62">TRIM(W424)</f>
        <v>Tugu Peringatan Lainnya</v>
      </c>
      <c r="Y424" s="13" t="s">
        <v>595</v>
      </c>
      <c r="Z424" s="13">
        <v>9</v>
      </c>
    </row>
    <row r="425" spans="1:26" ht="26.25" customHeight="1" x14ac:dyDescent="0.25">
      <c r="A425" t="s">
        <v>1384</v>
      </c>
      <c r="B425" t="str">
        <f t="shared" si="49"/>
        <v>3.12.2.3.2</v>
      </c>
      <c r="C425" t="str">
        <f t="shared" si="48"/>
        <v>Berubah</v>
      </c>
      <c r="D425" t="str">
        <f t="shared" si="50"/>
        <v>1.3.3.02.01.02.004</v>
      </c>
      <c r="E425" s="12" t="s">
        <v>1031</v>
      </c>
      <c r="F425" s="4">
        <v>1</v>
      </c>
      <c r="G425" s="4">
        <v>3</v>
      </c>
      <c r="H425" s="4">
        <v>3</v>
      </c>
      <c r="I425" s="5" t="s">
        <v>24</v>
      </c>
      <c r="J425" s="5" t="s">
        <v>10</v>
      </c>
      <c r="K425" s="5" t="s">
        <v>24</v>
      </c>
      <c r="L425" s="5" t="s">
        <v>20</v>
      </c>
      <c r="M425" s="6" t="s">
        <v>23</v>
      </c>
      <c r="N425" s="6" t="str">
        <f t="shared" si="60"/>
        <v>Dst….</v>
      </c>
      <c r="O425" t="b">
        <f t="shared" si="61"/>
        <v>0</v>
      </c>
      <c r="Q425" s="12" t="s">
        <v>1031</v>
      </c>
      <c r="R425" s="27">
        <v>3</v>
      </c>
      <c r="S425" s="28">
        <v>12</v>
      </c>
      <c r="T425" s="28">
        <v>2</v>
      </c>
      <c r="U425" s="28">
        <v>3</v>
      </c>
      <c r="V425" s="28">
        <v>2</v>
      </c>
      <c r="W425" s="11" t="s">
        <v>415</v>
      </c>
      <c r="X425" t="str">
        <f t="shared" si="62"/>
        <v>Lain-lain</v>
      </c>
      <c r="Y425" s="13" t="s">
        <v>595</v>
      </c>
      <c r="Z425" s="13">
        <v>10</v>
      </c>
    </row>
    <row r="426" spans="1:26" ht="26.25" customHeight="1" x14ac:dyDescent="0.25">
      <c r="A426" t="s">
        <v>1129</v>
      </c>
      <c r="B426" t="str">
        <f t="shared" si="49"/>
        <v>....</v>
      </c>
      <c r="C426" t="str">
        <f t="shared" si="48"/>
        <v>Bertambah</v>
      </c>
      <c r="D426" t="str">
        <f t="shared" si="50"/>
        <v>1.3.3.02.01.03.</v>
      </c>
      <c r="E426" s="12" t="s">
        <v>1032</v>
      </c>
      <c r="F426" s="17">
        <v>1</v>
      </c>
      <c r="G426" s="17">
        <v>3</v>
      </c>
      <c r="H426" s="17">
        <v>3</v>
      </c>
      <c r="I426" s="18" t="s">
        <v>24</v>
      </c>
      <c r="J426" s="18" t="s">
        <v>10</v>
      </c>
      <c r="K426" s="18" t="s">
        <v>48</v>
      </c>
      <c r="L426" s="18"/>
      <c r="M426" s="19" t="s">
        <v>352</v>
      </c>
      <c r="N426" s="19" t="str">
        <f t="shared" si="60"/>
        <v>BANGUNAN PENINGGALAN</v>
      </c>
      <c r="O426" t="b">
        <f t="shared" si="61"/>
        <v>0</v>
      </c>
      <c r="Q426" s="12" t="s">
        <v>1032</v>
      </c>
      <c r="R426" s="29"/>
      <c r="S426" s="29"/>
      <c r="T426" s="29"/>
      <c r="U426" s="29"/>
      <c r="V426" s="29"/>
      <c r="W426" s="10"/>
      <c r="X426" t="str">
        <f t="shared" si="62"/>
        <v/>
      </c>
      <c r="Y426" s="10"/>
      <c r="Z426" s="10"/>
    </row>
    <row r="427" spans="1:26" ht="26.25" customHeight="1" x14ac:dyDescent="0.25">
      <c r="A427" t="s">
        <v>1129</v>
      </c>
      <c r="B427" t="str">
        <f t="shared" si="49"/>
        <v>....</v>
      </c>
      <c r="C427" t="str">
        <f t="shared" si="48"/>
        <v>Bertambah</v>
      </c>
      <c r="D427" t="str">
        <f t="shared" si="50"/>
        <v>1.3.3.02.01.03.001</v>
      </c>
      <c r="E427" s="12" t="s">
        <v>1033</v>
      </c>
      <c r="F427" s="17">
        <v>1</v>
      </c>
      <c r="G427" s="17">
        <v>3</v>
      </c>
      <c r="H427" s="17">
        <v>3</v>
      </c>
      <c r="I427" s="18" t="s">
        <v>24</v>
      </c>
      <c r="J427" s="18" t="s">
        <v>10</v>
      </c>
      <c r="K427" s="18" t="s">
        <v>48</v>
      </c>
      <c r="L427" s="18" t="s">
        <v>14</v>
      </c>
      <c r="M427" s="19" t="s">
        <v>353</v>
      </c>
      <c r="N427" s="19" t="str">
        <f t="shared" si="60"/>
        <v>Istana Peninggalan</v>
      </c>
      <c r="O427" t="b">
        <f t="shared" si="61"/>
        <v>0</v>
      </c>
      <c r="Q427" s="12" t="s">
        <v>1033</v>
      </c>
      <c r="R427" s="27"/>
      <c r="S427" s="28"/>
      <c r="T427" s="28"/>
      <c r="U427" s="28"/>
      <c r="V427" s="28"/>
      <c r="W427" s="11"/>
      <c r="X427" t="str">
        <f t="shared" si="62"/>
        <v/>
      </c>
      <c r="Y427" s="13"/>
      <c r="Z427" s="13"/>
    </row>
    <row r="428" spans="1:26" ht="26.25" customHeight="1" x14ac:dyDescent="0.25">
      <c r="A428" t="s">
        <v>1385</v>
      </c>
      <c r="B428" t="str">
        <f t="shared" si="49"/>
        <v>3.12.1.2.*</v>
      </c>
      <c r="C428" t="str">
        <f t="shared" si="48"/>
        <v>Berubah</v>
      </c>
      <c r="D428" t="str">
        <f t="shared" si="50"/>
        <v>1.3.3.02.01.03.002</v>
      </c>
      <c r="E428" s="12" t="s">
        <v>1034</v>
      </c>
      <c r="F428" s="4">
        <v>1</v>
      </c>
      <c r="G428" s="4">
        <v>3</v>
      </c>
      <c r="H428" s="4">
        <v>3</v>
      </c>
      <c r="I428" s="5" t="s">
        <v>24</v>
      </c>
      <c r="J428" s="5" t="s">
        <v>10</v>
      </c>
      <c r="K428" s="5" t="s">
        <v>48</v>
      </c>
      <c r="L428" s="5" t="s">
        <v>16</v>
      </c>
      <c r="M428" s="6" t="s">
        <v>354</v>
      </c>
      <c r="N428" s="6" t="str">
        <f t="shared" si="60"/>
        <v>Rumah Adat</v>
      </c>
      <c r="O428" t="b">
        <f t="shared" si="61"/>
        <v>0</v>
      </c>
      <c r="Q428" s="12" t="s">
        <v>1034</v>
      </c>
      <c r="R428" s="27">
        <v>3</v>
      </c>
      <c r="S428" s="28">
        <v>12</v>
      </c>
      <c r="T428" s="28">
        <v>1</v>
      </c>
      <c r="U428" s="28">
        <v>2</v>
      </c>
      <c r="V428" s="28" t="s">
        <v>411</v>
      </c>
      <c r="W428" s="11" t="s">
        <v>587</v>
      </c>
      <c r="X428" t="str">
        <f t="shared" si="62"/>
        <v>Rumah Adat</v>
      </c>
      <c r="Y428" s="13" t="s">
        <v>584</v>
      </c>
      <c r="Z428" s="13">
        <v>6</v>
      </c>
    </row>
    <row r="429" spans="1:26" ht="26.25" customHeight="1" x14ac:dyDescent="0.25">
      <c r="A429" t="s">
        <v>1386</v>
      </c>
      <c r="B429" t="str">
        <f t="shared" si="49"/>
        <v>3.12.1.2.1</v>
      </c>
      <c r="C429" t="str">
        <f t="shared" si="48"/>
        <v>Keluar</v>
      </c>
      <c r="D429" t="str">
        <f t="shared" si="50"/>
        <v>......</v>
      </c>
      <c r="E429" s="12" t="s">
        <v>1035</v>
      </c>
      <c r="F429" s="17"/>
      <c r="G429" s="17"/>
      <c r="H429" s="17"/>
      <c r="I429" s="18"/>
      <c r="J429" s="18"/>
      <c r="K429" s="18"/>
      <c r="L429" s="18"/>
      <c r="M429" s="19"/>
      <c r="N429" s="19" t="str">
        <f t="shared" si="60"/>
        <v/>
      </c>
      <c r="O429" t="b">
        <f t="shared" si="61"/>
        <v>0</v>
      </c>
      <c r="Q429" s="12" t="s">
        <v>1035</v>
      </c>
      <c r="R429" s="27">
        <v>3</v>
      </c>
      <c r="S429" s="28">
        <v>12</v>
      </c>
      <c r="T429" s="28">
        <v>1</v>
      </c>
      <c r="U429" s="28">
        <v>2</v>
      </c>
      <c r="V429" s="28">
        <v>1</v>
      </c>
      <c r="W429" s="11" t="s">
        <v>587</v>
      </c>
      <c r="X429" t="str">
        <f t="shared" si="62"/>
        <v>Rumah Adat</v>
      </c>
      <c r="Y429" s="13" t="s">
        <v>584</v>
      </c>
      <c r="Z429" s="13">
        <v>7</v>
      </c>
    </row>
    <row r="430" spans="1:26" ht="26.25" customHeight="1" x14ac:dyDescent="0.25">
      <c r="A430" t="s">
        <v>1387</v>
      </c>
      <c r="B430" t="str">
        <f t="shared" si="49"/>
        <v>3.12.1.2.2</v>
      </c>
      <c r="C430" t="str">
        <f t="shared" si="48"/>
        <v>Keluar</v>
      </c>
      <c r="D430" t="str">
        <f t="shared" si="50"/>
        <v>......</v>
      </c>
      <c r="E430" s="12" t="s">
        <v>1036</v>
      </c>
      <c r="F430" s="17"/>
      <c r="G430" s="17"/>
      <c r="H430" s="17"/>
      <c r="I430" s="18"/>
      <c r="J430" s="18"/>
      <c r="K430" s="18"/>
      <c r="L430" s="18"/>
      <c r="M430" s="19"/>
      <c r="N430" s="6" t="s">
        <v>360</v>
      </c>
      <c r="O430" t="b">
        <f>M430=W431</f>
        <v>1</v>
      </c>
      <c r="Q430" s="12" t="s">
        <v>1036</v>
      </c>
      <c r="R430" s="27">
        <v>3</v>
      </c>
      <c r="S430" s="28">
        <v>12</v>
      </c>
      <c r="T430" s="28">
        <v>1</v>
      </c>
      <c r="U430" s="28">
        <v>2</v>
      </c>
      <c r="V430" s="28">
        <v>2</v>
      </c>
      <c r="W430" s="11" t="s">
        <v>415</v>
      </c>
      <c r="X430" s="11"/>
      <c r="Y430" s="13" t="s">
        <v>584</v>
      </c>
      <c r="Z430" s="13">
        <v>8</v>
      </c>
    </row>
    <row r="431" spans="1:26" ht="26.25" customHeight="1" x14ac:dyDescent="0.25">
      <c r="A431" t="s">
        <v>1129</v>
      </c>
      <c r="B431" t="str">
        <f t="shared" si="49"/>
        <v>....</v>
      </c>
      <c r="C431" t="str">
        <f t="shared" si="48"/>
        <v>Bertambah</v>
      </c>
      <c r="D431" t="str">
        <f t="shared" si="50"/>
        <v>......</v>
      </c>
      <c r="E431" s="12" t="s">
        <v>1037</v>
      </c>
      <c r="F431" s="4"/>
      <c r="G431" s="4"/>
      <c r="H431" s="4"/>
      <c r="I431" s="5"/>
      <c r="J431" s="5"/>
      <c r="K431" s="5"/>
      <c r="L431" s="5"/>
      <c r="M431" s="6"/>
      <c r="N431" s="6" t="str">
        <f t="shared" ref="N431:N433" si="63">TRIM(M431)</f>
        <v/>
      </c>
      <c r="O431" t="b">
        <f>M431=W431</f>
        <v>1</v>
      </c>
      <c r="Q431" s="12" t="s">
        <v>1037</v>
      </c>
      <c r="R431" s="29"/>
      <c r="S431" s="29"/>
      <c r="T431" s="29"/>
      <c r="U431" s="29"/>
      <c r="V431" s="29"/>
      <c r="W431" s="10"/>
      <c r="X431" t="str">
        <f t="shared" ref="X431:X433" si="64">TRIM(W431)</f>
        <v/>
      </c>
      <c r="Y431" s="10"/>
      <c r="Z431" s="10"/>
    </row>
    <row r="432" spans="1:26" ht="26.25" customHeight="1" x14ac:dyDescent="0.25">
      <c r="A432" t="s">
        <v>1388</v>
      </c>
      <c r="B432" t="str">
        <f t="shared" si="49"/>
        <v>3.12.1.30.*</v>
      </c>
      <c r="C432" t="str">
        <f t="shared" si="48"/>
        <v>Berubah</v>
      </c>
      <c r="D432" t="str">
        <f t="shared" si="50"/>
        <v>1.3.3.02.01.03.003</v>
      </c>
      <c r="E432" s="12" t="s">
        <v>1038</v>
      </c>
      <c r="F432" s="4">
        <v>1</v>
      </c>
      <c r="G432" s="4">
        <v>3</v>
      </c>
      <c r="H432" s="4">
        <v>3</v>
      </c>
      <c r="I432" s="5" t="s">
        <v>24</v>
      </c>
      <c r="J432" s="5" t="s">
        <v>10</v>
      </c>
      <c r="K432" s="5" t="s">
        <v>48</v>
      </c>
      <c r="L432" s="5" t="s">
        <v>18</v>
      </c>
      <c r="M432" s="6" t="s">
        <v>355</v>
      </c>
      <c r="N432" s="6" t="str">
        <f t="shared" si="63"/>
        <v>Rumah Peninggalan Sejarah</v>
      </c>
      <c r="O432" t="b">
        <f>M432=W432</f>
        <v>0</v>
      </c>
      <c r="Q432" s="12" t="s">
        <v>1038</v>
      </c>
      <c r="R432" s="27">
        <v>3</v>
      </c>
      <c r="S432" s="28">
        <v>12</v>
      </c>
      <c r="T432" s="28">
        <v>1</v>
      </c>
      <c r="U432" s="28">
        <v>30</v>
      </c>
      <c r="V432" s="28" t="s">
        <v>411</v>
      </c>
      <c r="W432" s="11" t="s">
        <v>588</v>
      </c>
      <c r="X432" t="str">
        <f t="shared" si="64"/>
        <v>Rumah Peninggalan Sejarah</v>
      </c>
      <c r="Y432" s="13" t="s">
        <v>584</v>
      </c>
      <c r="Z432" s="13">
        <v>9</v>
      </c>
    </row>
    <row r="433" spans="1:26" ht="26.25" customHeight="1" x14ac:dyDescent="0.25">
      <c r="A433" t="s">
        <v>1389</v>
      </c>
      <c r="B433" t="str">
        <f t="shared" si="49"/>
        <v>3.12.1.3.1</v>
      </c>
      <c r="C433" t="str">
        <f t="shared" si="48"/>
        <v>Keluar</v>
      </c>
      <c r="D433" t="str">
        <f t="shared" si="50"/>
        <v>......</v>
      </c>
      <c r="E433" s="12" t="s">
        <v>1039</v>
      </c>
      <c r="F433" s="17"/>
      <c r="G433" s="17"/>
      <c r="H433" s="17"/>
      <c r="I433" s="18"/>
      <c r="J433" s="18"/>
      <c r="K433" s="18"/>
      <c r="L433" s="18"/>
      <c r="M433" s="19"/>
      <c r="N433" s="19" t="str">
        <f t="shared" si="63"/>
        <v/>
      </c>
      <c r="O433" t="b">
        <f>M433=W433</f>
        <v>0</v>
      </c>
      <c r="Q433" s="12" t="s">
        <v>1039</v>
      </c>
      <c r="R433" s="27">
        <v>3</v>
      </c>
      <c r="S433" s="28">
        <v>12</v>
      </c>
      <c r="T433" s="28">
        <v>1</v>
      </c>
      <c r="U433" s="28">
        <v>3</v>
      </c>
      <c r="V433" s="28">
        <v>1</v>
      </c>
      <c r="W433" s="11" t="s">
        <v>589</v>
      </c>
      <c r="X433" t="str">
        <f t="shared" si="64"/>
        <v>Rumah Peninnggalan Sejarah</v>
      </c>
      <c r="Y433" s="13" t="s">
        <v>584</v>
      </c>
      <c r="Z433" s="13">
        <v>10</v>
      </c>
    </row>
    <row r="434" spans="1:26" ht="26.25" customHeight="1" x14ac:dyDescent="0.25">
      <c r="A434" t="s">
        <v>1390</v>
      </c>
      <c r="B434" t="str">
        <f t="shared" si="49"/>
        <v>3.12.1.3.2</v>
      </c>
      <c r="C434" t="str">
        <f t="shared" si="48"/>
        <v>Keluar</v>
      </c>
      <c r="D434" t="str">
        <f t="shared" si="50"/>
        <v>......</v>
      </c>
      <c r="E434" s="12" t="s">
        <v>1040</v>
      </c>
      <c r="F434" s="4"/>
      <c r="G434" s="4"/>
      <c r="H434" s="4"/>
      <c r="I434" s="5"/>
      <c r="J434" s="5"/>
      <c r="K434" s="5"/>
      <c r="L434" s="5"/>
      <c r="M434" s="6"/>
      <c r="N434" s="6" t="s">
        <v>364</v>
      </c>
      <c r="O434" t="b">
        <f>M434=W435</f>
        <v>1</v>
      </c>
      <c r="Q434" s="12" t="s">
        <v>1040</v>
      </c>
      <c r="R434" s="27">
        <v>3</v>
      </c>
      <c r="S434" s="28">
        <v>12</v>
      </c>
      <c r="T434" s="28">
        <v>1</v>
      </c>
      <c r="U434" s="28">
        <v>3</v>
      </c>
      <c r="V434" s="28">
        <v>2</v>
      </c>
      <c r="W434" s="11" t="s">
        <v>415</v>
      </c>
      <c r="X434" s="11"/>
      <c r="Y434" s="13" t="s">
        <v>584</v>
      </c>
      <c r="Z434" s="13">
        <v>11</v>
      </c>
    </row>
    <row r="435" spans="1:26" ht="26.25" customHeight="1" x14ac:dyDescent="0.25">
      <c r="A435" t="s">
        <v>1129</v>
      </c>
      <c r="B435" t="str">
        <f t="shared" si="49"/>
        <v>....</v>
      </c>
      <c r="C435" t="str">
        <f t="shared" si="48"/>
        <v>Bertambah</v>
      </c>
      <c r="D435" t="str">
        <f t="shared" si="50"/>
        <v>......</v>
      </c>
      <c r="E435" s="12" t="s">
        <v>1041</v>
      </c>
      <c r="F435" s="4"/>
      <c r="G435" s="4"/>
      <c r="H435" s="4"/>
      <c r="I435" s="5"/>
      <c r="J435" s="5"/>
      <c r="K435" s="5"/>
      <c r="L435" s="5"/>
      <c r="M435" s="6"/>
      <c r="N435" s="6" t="str">
        <f>TRIM(M435)</f>
        <v/>
      </c>
      <c r="O435" t="b">
        <f>M435=W435</f>
        <v>1</v>
      </c>
      <c r="Q435" s="12" t="s">
        <v>1041</v>
      </c>
      <c r="R435" s="29"/>
      <c r="S435" s="29"/>
      <c r="T435" s="29"/>
      <c r="U435" s="29"/>
      <c r="V435" s="29"/>
      <c r="W435" s="10"/>
      <c r="X435" t="str">
        <f>TRIM(W435)</f>
        <v/>
      </c>
      <c r="Y435" s="10"/>
      <c r="Z435" s="10"/>
    </row>
    <row r="436" spans="1:26" ht="26.25" customHeight="1" x14ac:dyDescent="0.25">
      <c r="A436" t="s">
        <v>1391</v>
      </c>
      <c r="B436" t="str">
        <f t="shared" si="49"/>
        <v>3.12.1.4.*</v>
      </c>
      <c r="C436" t="str">
        <f t="shared" si="48"/>
        <v>Berubah</v>
      </c>
      <c r="D436" t="str">
        <f t="shared" si="50"/>
        <v>1.3.3.02.01.03.004</v>
      </c>
      <c r="E436" s="12" t="s">
        <v>1042</v>
      </c>
      <c r="F436" s="4">
        <v>1</v>
      </c>
      <c r="G436" s="4">
        <v>3</v>
      </c>
      <c r="H436" s="4">
        <v>3</v>
      </c>
      <c r="I436" s="5" t="s">
        <v>24</v>
      </c>
      <c r="J436" s="5" t="s">
        <v>10</v>
      </c>
      <c r="K436" s="5" t="s">
        <v>48</v>
      </c>
      <c r="L436" s="5" t="s">
        <v>20</v>
      </c>
      <c r="M436" s="6" t="s">
        <v>356</v>
      </c>
      <c r="N436" s="6" t="s">
        <v>23</v>
      </c>
      <c r="O436" t="b">
        <f>M436=W437</f>
        <v>1</v>
      </c>
      <c r="Q436" s="12" t="s">
        <v>1042</v>
      </c>
      <c r="R436" s="27">
        <v>3</v>
      </c>
      <c r="S436" s="28">
        <v>12</v>
      </c>
      <c r="T436" s="28">
        <v>1</v>
      </c>
      <c r="U436" s="28">
        <v>4</v>
      </c>
      <c r="V436" s="28" t="s">
        <v>411</v>
      </c>
      <c r="W436" s="11" t="s">
        <v>356</v>
      </c>
      <c r="X436" s="11"/>
      <c r="Y436" s="13" t="s">
        <v>584</v>
      </c>
      <c r="Z436" s="13">
        <v>12</v>
      </c>
    </row>
    <row r="437" spans="1:26" ht="26.25" customHeight="1" x14ac:dyDescent="0.25">
      <c r="A437" t="s">
        <v>1392</v>
      </c>
      <c r="B437" t="str">
        <f t="shared" si="49"/>
        <v>3.12.1.4.1</v>
      </c>
      <c r="C437" t="str">
        <f t="shared" si="48"/>
        <v>Keluar</v>
      </c>
      <c r="D437" t="str">
        <f t="shared" si="50"/>
        <v>......</v>
      </c>
      <c r="E437" s="12" t="s">
        <v>1043</v>
      </c>
      <c r="F437" s="17"/>
      <c r="G437" s="17"/>
      <c r="H437" s="17"/>
      <c r="I437" s="18"/>
      <c r="J437" s="18"/>
      <c r="K437" s="18"/>
      <c r="L437" s="18"/>
      <c r="M437" s="19"/>
      <c r="N437" s="19" t="str">
        <f>TRIM(M437)</f>
        <v/>
      </c>
      <c r="O437" t="b">
        <f>M437=W437</f>
        <v>0</v>
      </c>
      <c r="Q437" s="12" t="s">
        <v>1043</v>
      </c>
      <c r="R437" s="27">
        <v>3</v>
      </c>
      <c r="S437" s="28">
        <v>12</v>
      </c>
      <c r="T437" s="28">
        <v>1</v>
      </c>
      <c r="U437" s="28">
        <v>4</v>
      </c>
      <c r="V437" s="28">
        <v>1</v>
      </c>
      <c r="W437" s="11" t="s">
        <v>356</v>
      </c>
      <c r="X437" t="str">
        <f>TRIM(W437)</f>
        <v>Makam Bersejarah</v>
      </c>
      <c r="Y437" s="13" t="s">
        <v>584</v>
      </c>
      <c r="Z437" s="13">
        <v>13</v>
      </c>
    </row>
    <row r="438" spans="1:26" ht="26.25" customHeight="1" x14ac:dyDescent="0.25">
      <c r="A438" t="s">
        <v>1393</v>
      </c>
      <c r="B438" t="str">
        <f t="shared" si="49"/>
        <v>3.12.1.4.2</v>
      </c>
      <c r="C438" t="str">
        <f t="shared" si="48"/>
        <v>Keluar</v>
      </c>
      <c r="D438" t="str">
        <f t="shared" si="50"/>
        <v>......</v>
      </c>
      <c r="E438" s="12" t="s">
        <v>1044</v>
      </c>
      <c r="F438" s="17"/>
      <c r="G438" s="17"/>
      <c r="H438" s="17"/>
      <c r="I438" s="18"/>
      <c r="J438" s="18"/>
      <c r="K438" s="18"/>
      <c r="L438" s="18"/>
      <c r="M438" s="19"/>
      <c r="N438" s="6" t="s">
        <v>367</v>
      </c>
      <c r="O438" t="b">
        <f>M438=W439</f>
        <v>1</v>
      </c>
      <c r="Q438" s="12" t="s">
        <v>1044</v>
      </c>
      <c r="R438" s="27">
        <v>3</v>
      </c>
      <c r="S438" s="28">
        <v>12</v>
      </c>
      <c r="T438" s="28">
        <v>1</v>
      </c>
      <c r="U438" s="28">
        <v>4</v>
      </c>
      <c r="V438" s="28">
        <v>2</v>
      </c>
      <c r="W438" s="11" t="s">
        <v>415</v>
      </c>
      <c r="X438" s="11"/>
      <c r="Y438" s="13" t="s">
        <v>584</v>
      </c>
      <c r="Z438" s="13">
        <v>14</v>
      </c>
    </row>
    <row r="439" spans="1:26" ht="26.25" customHeight="1" x14ac:dyDescent="0.25">
      <c r="A439" t="s">
        <v>1129</v>
      </c>
      <c r="B439" t="str">
        <f t="shared" si="49"/>
        <v>....</v>
      </c>
      <c r="C439" t="str">
        <f t="shared" si="48"/>
        <v>Bertambah</v>
      </c>
      <c r="D439" t="str">
        <f t="shared" si="50"/>
        <v>......</v>
      </c>
      <c r="E439" s="12" t="s">
        <v>1045</v>
      </c>
      <c r="F439" s="4"/>
      <c r="G439" s="4"/>
      <c r="H439" s="4"/>
      <c r="I439" s="5"/>
      <c r="J439" s="5"/>
      <c r="K439" s="5"/>
      <c r="L439" s="5"/>
      <c r="M439" s="6"/>
      <c r="N439" s="6" t="str">
        <f t="shared" ref="N439:N443" si="65">TRIM(M439)</f>
        <v/>
      </c>
      <c r="O439" t="b">
        <f>M439=W439</f>
        <v>1</v>
      </c>
      <c r="Q439" s="12" t="s">
        <v>1045</v>
      </c>
      <c r="R439" s="27"/>
      <c r="S439" s="28"/>
      <c r="T439" s="28"/>
      <c r="U439" s="28"/>
      <c r="V439" s="28"/>
      <c r="W439" s="11"/>
      <c r="X439" t="str">
        <f t="shared" ref="X439:X443" si="66">TRIM(W439)</f>
        <v/>
      </c>
      <c r="Y439" s="13"/>
      <c r="Z439" s="13"/>
    </row>
    <row r="440" spans="1:26" ht="26.25" customHeight="1" x14ac:dyDescent="0.25">
      <c r="A440" t="s">
        <v>1394</v>
      </c>
      <c r="B440" t="str">
        <f t="shared" si="49"/>
        <v>3.12.1.5.*</v>
      </c>
      <c r="C440" t="str">
        <f t="shared" si="48"/>
        <v>Berubah</v>
      </c>
      <c r="D440" t="str">
        <f t="shared" si="50"/>
        <v>1.3.3.02.01.03.005</v>
      </c>
      <c r="E440" s="12" t="s">
        <v>1046</v>
      </c>
      <c r="F440" s="17">
        <v>1</v>
      </c>
      <c r="G440" s="17">
        <v>3</v>
      </c>
      <c r="H440" s="17">
        <v>3</v>
      </c>
      <c r="I440" s="18" t="s">
        <v>24</v>
      </c>
      <c r="J440" s="18" t="s">
        <v>10</v>
      </c>
      <c r="K440" s="18" t="s">
        <v>48</v>
      </c>
      <c r="L440" s="18" t="s">
        <v>22</v>
      </c>
      <c r="M440" s="19" t="s">
        <v>23</v>
      </c>
      <c r="N440" s="19" t="str">
        <f t="shared" si="65"/>
        <v>Dst….</v>
      </c>
      <c r="O440" t="b">
        <f>M440=W440</f>
        <v>0</v>
      </c>
      <c r="Q440" s="12" t="s">
        <v>1046</v>
      </c>
      <c r="R440" s="27">
        <v>3</v>
      </c>
      <c r="S440" s="28">
        <v>12</v>
      </c>
      <c r="T440" s="28">
        <v>1</v>
      </c>
      <c r="U440" s="28">
        <v>5</v>
      </c>
      <c r="V440" s="28" t="s">
        <v>411</v>
      </c>
      <c r="W440" s="11" t="s">
        <v>590</v>
      </c>
      <c r="X440" t="str">
        <f t="shared" si="66"/>
        <v>Bangunan Tempat Ibadah Bersejarah</v>
      </c>
      <c r="Y440" s="13" t="s">
        <v>584</v>
      </c>
      <c r="Z440" s="13">
        <v>15</v>
      </c>
    </row>
    <row r="441" spans="1:26" ht="26.25" customHeight="1" x14ac:dyDescent="0.25">
      <c r="A441" t="s">
        <v>1395</v>
      </c>
      <c r="B441" t="str">
        <f t="shared" si="49"/>
        <v>3.12.1.5.1</v>
      </c>
      <c r="C441" t="str">
        <f t="shared" si="48"/>
        <v>Berubah</v>
      </c>
      <c r="D441" t="str">
        <f t="shared" si="50"/>
        <v>1.3.3.02.01.03.006</v>
      </c>
      <c r="E441" s="12" t="s">
        <v>1047</v>
      </c>
      <c r="F441" s="17">
        <v>1</v>
      </c>
      <c r="G441" s="17">
        <v>3</v>
      </c>
      <c r="H441" s="17">
        <v>3</v>
      </c>
      <c r="I441" s="18" t="s">
        <v>24</v>
      </c>
      <c r="J441" s="18" t="s">
        <v>10</v>
      </c>
      <c r="K441" s="18" t="s">
        <v>48</v>
      </c>
      <c r="L441" s="18" t="s">
        <v>31</v>
      </c>
      <c r="M441" s="11" t="s">
        <v>591</v>
      </c>
      <c r="N441" s="19" t="str">
        <f t="shared" si="65"/>
        <v>Mesjid Bersejarah</v>
      </c>
      <c r="O441" t="b">
        <f>M441=W441</f>
        <v>1</v>
      </c>
      <c r="Q441" s="12" t="s">
        <v>1047</v>
      </c>
      <c r="R441" s="27">
        <v>3</v>
      </c>
      <c r="S441" s="28">
        <v>12</v>
      </c>
      <c r="T441" s="28">
        <v>1</v>
      </c>
      <c r="U441" s="28">
        <v>5</v>
      </c>
      <c r="V441" s="28">
        <v>1</v>
      </c>
      <c r="W441" s="11" t="s">
        <v>591</v>
      </c>
      <c r="X441" t="str">
        <f t="shared" si="66"/>
        <v>Mesjid Bersejarah</v>
      </c>
      <c r="Y441" s="13" t="s">
        <v>584</v>
      </c>
      <c r="Z441" s="13">
        <v>16</v>
      </c>
    </row>
    <row r="442" spans="1:26" ht="26.25" customHeight="1" x14ac:dyDescent="0.25">
      <c r="A442" t="s">
        <v>1396</v>
      </c>
      <c r="B442" t="str">
        <f t="shared" si="49"/>
        <v>3.12.1.5.2</v>
      </c>
      <c r="C442" t="str">
        <f t="shared" ref="C442:C505" si="67">IF(R442&lt;&gt;"",IF(F442="","Keluar","Berubah"),"Bertambah")</f>
        <v>Berubah</v>
      </c>
      <c r="D442" t="str">
        <f t="shared" si="50"/>
        <v>1.3.3.02.01.03.007</v>
      </c>
      <c r="E442" s="12" t="s">
        <v>1048</v>
      </c>
      <c r="F442" s="17">
        <v>1</v>
      </c>
      <c r="G442" s="17">
        <v>3</v>
      </c>
      <c r="H442" s="17">
        <v>3</v>
      </c>
      <c r="I442" s="18" t="s">
        <v>24</v>
      </c>
      <c r="J442" s="18" t="s">
        <v>10</v>
      </c>
      <c r="K442" s="18" t="s">
        <v>48</v>
      </c>
      <c r="L442" s="18" t="s">
        <v>33</v>
      </c>
      <c r="M442" s="11" t="s">
        <v>592</v>
      </c>
      <c r="N442" s="19" t="str">
        <f t="shared" si="65"/>
        <v>Gereja Bersejarah</v>
      </c>
      <c r="O442" t="b">
        <f>M442=W442</f>
        <v>1</v>
      </c>
      <c r="Q442" s="12" t="s">
        <v>1048</v>
      </c>
      <c r="R442" s="27">
        <v>3</v>
      </c>
      <c r="S442" s="28">
        <v>12</v>
      </c>
      <c r="T442" s="28">
        <v>1</v>
      </c>
      <c r="U442" s="28">
        <v>5</v>
      </c>
      <c r="V442" s="28">
        <v>2</v>
      </c>
      <c r="W442" s="11" t="s">
        <v>592</v>
      </c>
      <c r="X442" t="str">
        <f t="shared" si="66"/>
        <v>Gereja Bersejarah</v>
      </c>
      <c r="Y442" s="13" t="s">
        <v>584</v>
      </c>
      <c r="Z442" s="13">
        <v>17</v>
      </c>
    </row>
    <row r="443" spans="1:26" ht="26.25" customHeight="1" x14ac:dyDescent="0.25">
      <c r="A443" t="s">
        <v>1397</v>
      </c>
      <c r="B443" t="str">
        <f t="shared" si="49"/>
        <v>3.12.1.5.3</v>
      </c>
      <c r="C443" t="str">
        <f t="shared" si="67"/>
        <v>Keluar</v>
      </c>
      <c r="D443" t="str">
        <f t="shared" si="50"/>
        <v>......</v>
      </c>
      <c r="E443" s="12" t="s">
        <v>1049</v>
      </c>
      <c r="F443" s="17"/>
      <c r="G443" s="17"/>
      <c r="H443" s="17"/>
      <c r="I443" s="18"/>
      <c r="J443" s="18"/>
      <c r="K443" s="18"/>
      <c r="L443" s="18"/>
      <c r="M443" s="19"/>
      <c r="N443" s="19" t="str">
        <f t="shared" si="65"/>
        <v/>
      </c>
      <c r="O443" t="b">
        <f>M443=W443</f>
        <v>0</v>
      </c>
      <c r="Q443" s="12" t="s">
        <v>1049</v>
      </c>
      <c r="R443" s="27">
        <v>3</v>
      </c>
      <c r="S443" s="28">
        <v>12</v>
      </c>
      <c r="T443" s="28">
        <v>1</v>
      </c>
      <c r="U443" s="28">
        <v>5</v>
      </c>
      <c r="V443" s="28">
        <v>3</v>
      </c>
      <c r="W443" s="11" t="s">
        <v>593</v>
      </c>
      <c r="X443" t="str">
        <f t="shared" si="66"/>
        <v>Tempat Ibadah Bersejarah Lainnya</v>
      </c>
      <c r="Y443" s="13" t="s">
        <v>584</v>
      </c>
      <c r="Z443" s="13">
        <v>18</v>
      </c>
    </row>
    <row r="444" spans="1:26" ht="26.25" customHeight="1" x14ac:dyDescent="0.25">
      <c r="A444" t="s">
        <v>1398</v>
      </c>
      <c r="B444" t="str">
        <f t="shared" si="49"/>
        <v>3.12.1.5.4</v>
      </c>
      <c r="C444" t="str">
        <f t="shared" si="67"/>
        <v>Keluar</v>
      </c>
      <c r="D444" t="str">
        <f t="shared" si="50"/>
        <v>......</v>
      </c>
      <c r="E444" s="12" t="s">
        <v>1050</v>
      </c>
      <c r="F444" s="17"/>
      <c r="G444" s="17"/>
      <c r="H444" s="17"/>
      <c r="I444" s="18"/>
      <c r="J444" s="18"/>
      <c r="K444" s="18"/>
      <c r="L444" s="18"/>
      <c r="M444" s="19"/>
      <c r="N444" s="6" t="s">
        <v>371</v>
      </c>
      <c r="O444" t="b">
        <f>M444=W445</f>
        <v>1</v>
      </c>
      <c r="Q444" s="12" t="s">
        <v>1050</v>
      </c>
      <c r="R444" s="27">
        <v>3</v>
      </c>
      <c r="S444" s="28">
        <v>12</v>
      </c>
      <c r="T444" s="28">
        <v>1</v>
      </c>
      <c r="U444" s="28">
        <v>5</v>
      </c>
      <c r="V444" s="28">
        <v>4</v>
      </c>
      <c r="W444" s="11" t="s">
        <v>415</v>
      </c>
      <c r="X444" s="11"/>
      <c r="Y444" s="13" t="s">
        <v>584</v>
      </c>
      <c r="Z444" s="13">
        <v>19</v>
      </c>
    </row>
    <row r="445" spans="1:26" ht="26.25" customHeight="1" x14ac:dyDescent="0.25">
      <c r="A445" t="s">
        <v>1129</v>
      </c>
      <c r="B445" t="str">
        <f t="shared" si="49"/>
        <v>....</v>
      </c>
      <c r="C445" t="str">
        <f t="shared" si="67"/>
        <v>Bertambah</v>
      </c>
      <c r="D445" t="str">
        <f t="shared" si="50"/>
        <v>......</v>
      </c>
      <c r="E445" s="12" t="s">
        <v>1051</v>
      </c>
      <c r="F445" s="4"/>
      <c r="G445" s="4"/>
      <c r="H445" s="4"/>
      <c r="I445" s="5"/>
      <c r="J445" s="5"/>
      <c r="K445" s="5"/>
      <c r="L445" s="5"/>
      <c r="M445" s="6"/>
      <c r="N445" s="6" t="s">
        <v>372</v>
      </c>
      <c r="O445" t="b">
        <f>M445=W446</f>
        <v>1</v>
      </c>
      <c r="Q445" s="12" t="s">
        <v>1051</v>
      </c>
      <c r="R445" s="27"/>
      <c r="S445" s="28"/>
      <c r="T445" s="28"/>
      <c r="U445" s="28"/>
      <c r="V445" s="28"/>
      <c r="W445" s="11"/>
      <c r="X445" s="11"/>
      <c r="Y445" s="13"/>
      <c r="Z445" s="13"/>
    </row>
    <row r="446" spans="1:26" ht="26.25" customHeight="1" x14ac:dyDescent="0.25">
      <c r="A446" t="s">
        <v>1129</v>
      </c>
      <c r="B446" t="str">
        <f t="shared" si="49"/>
        <v>....</v>
      </c>
      <c r="C446" t="str">
        <f t="shared" si="67"/>
        <v>Bertambah</v>
      </c>
      <c r="D446" t="str">
        <f t="shared" si="50"/>
        <v>......</v>
      </c>
      <c r="E446" s="12" t="s">
        <v>1052</v>
      </c>
      <c r="F446" s="4"/>
      <c r="G446" s="4"/>
      <c r="H446" s="4"/>
      <c r="I446" s="5"/>
      <c r="J446" s="5"/>
      <c r="K446" s="5"/>
      <c r="L446" s="5"/>
      <c r="M446" s="6"/>
      <c r="N446" s="6" t="s">
        <v>373</v>
      </c>
      <c r="O446" t="b">
        <f>M446=W447</f>
        <v>1</v>
      </c>
      <c r="Q446" s="12" t="s">
        <v>1052</v>
      </c>
      <c r="R446" s="27"/>
      <c r="S446" s="28"/>
      <c r="T446" s="28"/>
      <c r="U446" s="28"/>
      <c r="V446" s="28"/>
      <c r="W446" s="11"/>
      <c r="X446" s="11"/>
      <c r="Y446" s="13"/>
      <c r="Z446" s="13"/>
    </row>
    <row r="447" spans="1:26" ht="26.25" customHeight="1" x14ac:dyDescent="0.25">
      <c r="A447" t="s">
        <v>1129</v>
      </c>
      <c r="B447" t="str">
        <f t="shared" si="49"/>
        <v>....</v>
      </c>
      <c r="C447" t="str">
        <f t="shared" si="67"/>
        <v>Bertambah</v>
      </c>
      <c r="D447" t="str">
        <f t="shared" si="50"/>
        <v>1.3.3.02.01.04.</v>
      </c>
      <c r="E447" s="12" t="s">
        <v>1053</v>
      </c>
      <c r="F447" s="17">
        <v>1</v>
      </c>
      <c r="G447" s="17">
        <v>3</v>
      </c>
      <c r="H447" s="17">
        <v>3</v>
      </c>
      <c r="I447" s="18" t="s">
        <v>24</v>
      </c>
      <c r="J447" s="18" t="s">
        <v>10</v>
      </c>
      <c r="K447" s="18" t="s">
        <v>54</v>
      </c>
      <c r="L447" s="18"/>
      <c r="M447" s="19" t="s">
        <v>357</v>
      </c>
      <c r="N447" s="19" t="str">
        <f t="shared" ref="N447:N461" si="68">TRIM(M447)</f>
        <v>CANDI/TUGU PERINGATAN/PRASASTI LAINNYA</v>
      </c>
      <c r="O447" t="b">
        <f>M447=W447</f>
        <v>0</v>
      </c>
      <c r="Q447" s="12" t="s">
        <v>1053</v>
      </c>
      <c r="R447" s="27"/>
      <c r="S447" s="28"/>
      <c r="T447" s="28"/>
      <c r="U447" s="28"/>
      <c r="V447" s="28"/>
      <c r="W447" s="11"/>
      <c r="X447" t="str">
        <f t="shared" ref="X447:X461" si="69">TRIM(W447)</f>
        <v/>
      </c>
      <c r="Y447" s="13"/>
      <c r="Z447" s="13"/>
    </row>
    <row r="448" spans="1:26" ht="26.25" customHeight="1" x14ac:dyDescent="0.25">
      <c r="A448" t="s">
        <v>1129</v>
      </c>
      <c r="B448" t="str">
        <f t="shared" si="49"/>
        <v>....</v>
      </c>
      <c r="C448" t="str">
        <f t="shared" si="67"/>
        <v>Bertambah</v>
      </c>
      <c r="D448" t="str">
        <f t="shared" si="50"/>
        <v>1.3.3.02.01.04.001</v>
      </c>
      <c r="E448" s="12" t="s">
        <v>1054</v>
      </c>
      <c r="F448" s="17">
        <v>1</v>
      </c>
      <c r="G448" s="17">
        <v>3</v>
      </c>
      <c r="H448" s="17">
        <v>3</v>
      </c>
      <c r="I448" s="18" t="s">
        <v>24</v>
      </c>
      <c r="J448" s="18" t="s">
        <v>10</v>
      </c>
      <c r="K448" s="18" t="s">
        <v>54</v>
      </c>
      <c r="L448" s="18" t="s">
        <v>14</v>
      </c>
      <c r="M448" s="19" t="s">
        <v>23</v>
      </c>
      <c r="N448" s="19" t="str">
        <f t="shared" si="68"/>
        <v>Dst….</v>
      </c>
      <c r="O448" t="b">
        <f>M448=W448</f>
        <v>0</v>
      </c>
      <c r="Q448" s="12" t="s">
        <v>1054</v>
      </c>
      <c r="R448" s="29"/>
      <c r="S448" s="29"/>
      <c r="T448" s="29"/>
      <c r="U448" s="29"/>
      <c r="V448" s="29"/>
      <c r="W448" s="10"/>
      <c r="X448" t="str">
        <f t="shared" si="69"/>
        <v/>
      </c>
      <c r="Y448" s="10"/>
      <c r="Z448" s="10"/>
    </row>
    <row r="449" spans="1:26" ht="26.25" customHeight="1" x14ac:dyDescent="0.25">
      <c r="A449" t="s">
        <v>1399</v>
      </c>
      <c r="B449" t="str">
        <f t="shared" si="49"/>
        <v>3.11.3.*.*</v>
      </c>
      <c r="C449" t="str">
        <f t="shared" si="67"/>
        <v>Berubah</v>
      </c>
      <c r="D449" t="str">
        <f t="shared" si="50"/>
        <v>1.3.3.03...</v>
      </c>
      <c r="E449" s="12" t="s">
        <v>1055</v>
      </c>
      <c r="F449" s="4">
        <v>1</v>
      </c>
      <c r="G449" s="4">
        <v>3</v>
      </c>
      <c r="H449" s="4">
        <v>3</v>
      </c>
      <c r="I449" s="5" t="s">
        <v>48</v>
      </c>
      <c r="J449" s="4"/>
      <c r="K449" s="5"/>
      <c r="L449" s="5"/>
      <c r="M449" s="6" t="s">
        <v>358</v>
      </c>
      <c r="N449" s="6" t="str">
        <f t="shared" si="68"/>
        <v>BANGUNAN MENARA</v>
      </c>
      <c r="O449" t="b">
        <f>M449=W449</f>
        <v>1</v>
      </c>
      <c r="Q449" s="12" t="s">
        <v>1055</v>
      </c>
      <c r="R449" s="27">
        <v>3</v>
      </c>
      <c r="S449" s="28">
        <v>11</v>
      </c>
      <c r="T449" s="28">
        <v>3</v>
      </c>
      <c r="U449" s="28" t="s">
        <v>411</v>
      </c>
      <c r="V449" s="28" t="s">
        <v>411</v>
      </c>
      <c r="W449" s="11" t="s">
        <v>358</v>
      </c>
      <c r="X449" t="str">
        <f t="shared" si="69"/>
        <v>BANGUNAN MENARA</v>
      </c>
      <c r="Y449" s="13" t="s">
        <v>576</v>
      </c>
      <c r="Z449" s="13">
        <v>1</v>
      </c>
    </row>
    <row r="450" spans="1:26" ht="26.25" customHeight="1" x14ac:dyDescent="0.25">
      <c r="A450" t="s">
        <v>1129</v>
      </c>
      <c r="B450" t="str">
        <f t="shared" si="49"/>
        <v>....</v>
      </c>
      <c r="C450" t="str">
        <f t="shared" si="67"/>
        <v>Bertambah</v>
      </c>
      <c r="D450" t="str">
        <f t="shared" si="50"/>
        <v>1.3.3.03.01..</v>
      </c>
      <c r="E450" s="12" t="s">
        <v>1056</v>
      </c>
      <c r="F450" s="17">
        <v>1</v>
      </c>
      <c r="G450" s="17">
        <v>3</v>
      </c>
      <c r="H450" s="17">
        <v>3</v>
      </c>
      <c r="I450" s="18" t="s">
        <v>48</v>
      </c>
      <c r="J450" s="18" t="s">
        <v>10</v>
      </c>
      <c r="K450" s="18"/>
      <c r="L450" s="18"/>
      <c r="M450" s="19" t="s">
        <v>359</v>
      </c>
      <c r="N450" s="19" t="str">
        <f t="shared" si="68"/>
        <v>BANGUNAN MENARA PERAMBUAN</v>
      </c>
      <c r="O450" t="b">
        <f>M450=W451</f>
        <v>0</v>
      </c>
      <c r="Q450" s="12" t="s">
        <v>1056</v>
      </c>
      <c r="R450" s="29"/>
      <c r="S450" s="29"/>
      <c r="T450" s="29"/>
      <c r="U450" s="29"/>
      <c r="V450" s="29"/>
      <c r="W450" s="10"/>
      <c r="X450" t="str">
        <f>TRIM(W451)</f>
        <v>Bangunan Menara Perambuan Penerang Pantai</v>
      </c>
      <c r="Y450" s="13" t="s">
        <v>576</v>
      </c>
      <c r="Z450" s="13">
        <v>2</v>
      </c>
    </row>
    <row r="451" spans="1:26" ht="26.25" customHeight="1" x14ac:dyDescent="0.25">
      <c r="A451" t="s">
        <v>1400</v>
      </c>
      <c r="B451" t="str">
        <f t="shared" si="49"/>
        <v>3.11.3.1.*</v>
      </c>
      <c r="C451" t="str">
        <f t="shared" si="67"/>
        <v>Berubah</v>
      </c>
      <c r="D451" t="str">
        <f t="shared" si="50"/>
        <v>1.3.3.03.01.01.</v>
      </c>
      <c r="E451" s="12" t="s">
        <v>1057</v>
      </c>
      <c r="F451" s="24">
        <v>1</v>
      </c>
      <c r="G451" s="24">
        <v>3</v>
      </c>
      <c r="H451" s="24">
        <v>3</v>
      </c>
      <c r="I451" s="25" t="s">
        <v>48</v>
      </c>
      <c r="J451" s="25" t="s">
        <v>10</v>
      </c>
      <c r="K451" s="25" t="s">
        <v>10</v>
      </c>
      <c r="L451" s="25"/>
      <c r="M451" s="26" t="s">
        <v>360</v>
      </c>
      <c r="N451" s="19" t="str">
        <f t="shared" si="68"/>
        <v>BANGUNAN MENARA PERAMBUAN PENERANGAN PANTAI</v>
      </c>
      <c r="O451" t="e">
        <f>M451=#REF!</f>
        <v>#REF!</v>
      </c>
      <c r="Q451" s="12" t="s">
        <v>1057</v>
      </c>
      <c r="R451" s="27">
        <v>3</v>
      </c>
      <c r="S451" s="28">
        <v>11</v>
      </c>
      <c r="T451" s="28">
        <v>3</v>
      </c>
      <c r="U451" s="28">
        <v>1</v>
      </c>
      <c r="V451" s="28" t="s">
        <v>411</v>
      </c>
      <c r="W451" s="11" t="s">
        <v>577</v>
      </c>
      <c r="X451" t="e">
        <f>TRIM(#REF!)</f>
        <v>#REF!</v>
      </c>
      <c r="Y451" s="10"/>
      <c r="Z451" s="10"/>
    </row>
    <row r="452" spans="1:26" ht="26.25" customHeight="1" x14ac:dyDescent="0.25">
      <c r="A452" t="s">
        <v>1401</v>
      </c>
      <c r="B452" t="str">
        <f t="shared" si="49"/>
        <v>3.11.3.1.1</v>
      </c>
      <c r="C452" t="str">
        <f t="shared" si="67"/>
        <v>Berubah</v>
      </c>
      <c r="D452" t="str">
        <f t="shared" si="50"/>
        <v>1.3.3.03.01.01.001</v>
      </c>
      <c r="E452" s="12" t="s">
        <v>1058</v>
      </c>
      <c r="F452" s="4">
        <v>1</v>
      </c>
      <c r="G452" s="4">
        <v>3</v>
      </c>
      <c r="H452" s="4">
        <v>3</v>
      </c>
      <c r="I452" s="5" t="s">
        <v>48</v>
      </c>
      <c r="J452" s="5" t="s">
        <v>10</v>
      </c>
      <c r="K452" s="5" t="s">
        <v>10</v>
      </c>
      <c r="L452" s="5" t="s">
        <v>14</v>
      </c>
      <c r="M452" s="6" t="s">
        <v>361</v>
      </c>
      <c r="N452" s="6" t="str">
        <f t="shared" si="68"/>
        <v>Menara Suar Listrik Diesel</v>
      </c>
      <c r="O452" t="b">
        <f t="shared" ref="O452:O461" si="70">M452=W452</f>
        <v>1</v>
      </c>
      <c r="Q452" s="12" t="s">
        <v>1058</v>
      </c>
      <c r="R452" s="27">
        <v>3</v>
      </c>
      <c r="S452" s="28">
        <v>11</v>
      </c>
      <c r="T452" s="28">
        <v>3</v>
      </c>
      <c r="U452" s="28">
        <v>1</v>
      </c>
      <c r="V452" s="28">
        <v>1</v>
      </c>
      <c r="W452" s="11" t="s">
        <v>361</v>
      </c>
      <c r="X452" t="str">
        <f t="shared" si="69"/>
        <v>Menara Suar Listrik Diesel</v>
      </c>
      <c r="Y452" s="13" t="s">
        <v>576</v>
      </c>
      <c r="Z452" s="13">
        <v>3</v>
      </c>
    </row>
    <row r="453" spans="1:26" ht="26.25" customHeight="1" x14ac:dyDescent="0.25">
      <c r="A453" t="s">
        <v>1402</v>
      </c>
      <c r="B453" t="str">
        <f t="shared" si="49"/>
        <v>3.11.3.1.2</v>
      </c>
      <c r="C453" t="str">
        <f t="shared" si="67"/>
        <v>Berubah</v>
      </c>
      <c r="D453" t="str">
        <f t="shared" si="50"/>
        <v>1.3.3.03.01.01.002</v>
      </c>
      <c r="E453" s="12" t="s">
        <v>1059</v>
      </c>
      <c r="F453" s="4">
        <v>1</v>
      </c>
      <c r="G453" s="4">
        <v>3</v>
      </c>
      <c r="H453" s="4">
        <v>3</v>
      </c>
      <c r="I453" s="5" t="s">
        <v>48</v>
      </c>
      <c r="J453" s="5" t="s">
        <v>10</v>
      </c>
      <c r="K453" s="5" t="s">
        <v>10</v>
      </c>
      <c r="L453" s="5" t="s">
        <v>16</v>
      </c>
      <c r="M453" s="6" t="s">
        <v>362</v>
      </c>
      <c r="N453" s="6" t="str">
        <f t="shared" si="68"/>
        <v>Menara Suar Listrik Non Diesel</v>
      </c>
      <c r="O453" t="b">
        <f t="shared" si="70"/>
        <v>1</v>
      </c>
      <c r="Q453" s="12" t="s">
        <v>1059</v>
      </c>
      <c r="R453" s="27">
        <v>3</v>
      </c>
      <c r="S453" s="28">
        <v>11</v>
      </c>
      <c r="T453" s="28">
        <v>3</v>
      </c>
      <c r="U453" s="28">
        <v>1</v>
      </c>
      <c r="V453" s="28">
        <v>2</v>
      </c>
      <c r="W453" s="11" t="s">
        <v>362</v>
      </c>
      <c r="X453" t="str">
        <f t="shared" si="69"/>
        <v>Menara Suar Listrik Non Diesel</v>
      </c>
      <c r="Y453" s="13" t="s">
        <v>576</v>
      </c>
      <c r="Z453" s="13">
        <v>4</v>
      </c>
    </row>
    <row r="454" spans="1:26" ht="26.25" customHeight="1" x14ac:dyDescent="0.25">
      <c r="A454" t="s">
        <v>1129</v>
      </c>
      <c r="B454" t="str">
        <f t="shared" si="49"/>
        <v>....</v>
      </c>
      <c r="C454" t="str">
        <f t="shared" si="67"/>
        <v>Bertambah</v>
      </c>
      <c r="D454" t="str">
        <f t="shared" si="50"/>
        <v>1.3.3.03.01.01.003</v>
      </c>
      <c r="E454" s="12" t="s">
        <v>1060</v>
      </c>
      <c r="F454" s="17">
        <v>1</v>
      </c>
      <c r="G454" s="17">
        <v>3</v>
      </c>
      <c r="H454" s="17">
        <v>3</v>
      </c>
      <c r="I454" s="18" t="s">
        <v>48</v>
      </c>
      <c r="J454" s="18" t="s">
        <v>10</v>
      </c>
      <c r="K454" s="18" t="s">
        <v>10</v>
      </c>
      <c r="L454" s="18" t="s">
        <v>18</v>
      </c>
      <c r="M454" s="19" t="s">
        <v>363</v>
      </c>
      <c r="N454" s="19" t="str">
        <f t="shared" si="68"/>
        <v>Rambu Suar</v>
      </c>
      <c r="O454" t="b">
        <f t="shared" si="70"/>
        <v>0</v>
      </c>
      <c r="Q454" s="12" t="s">
        <v>1060</v>
      </c>
      <c r="R454" s="29"/>
      <c r="S454" s="29"/>
      <c r="T454" s="29"/>
      <c r="U454" s="29"/>
      <c r="V454" s="29"/>
      <c r="W454" s="10"/>
      <c r="X454" t="str">
        <f t="shared" si="69"/>
        <v/>
      </c>
      <c r="Y454" s="10"/>
      <c r="Z454" s="10"/>
    </row>
    <row r="455" spans="1:26" ht="26.25" customHeight="1" x14ac:dyDescent="0.25">
      <c r="A455" t="s">
        <v>1129</v>
      </c>
      <c r="B455" t="str">
        <f t="shared" ref="B455:B513" si="71">R455&amp;"."&amp;S455&amp;"."&amp;T455&amp;"."&amp;U455&amp;"."&amp;V455</f>
        <v>....</v>
      </c>
      <c r="C455" t="str">
        <f t="shared" si="67"/>
        <v>Bertambah</v>
      </c>
      <c r="D455" t="str">
        <f t="shared" si="50"/>
        <v>1.3.3.03.01.01.004</v>
      </c>
      <c r="E455" s="12" t="s">
        <v>1061</v>
      </c>
      <c r="F455" s="17">
        <v>1</v>
      </c>
      <c r="G455" s="17">
        <v>3</v>
      </c>
      <c r="H455" s="17">
        <v>3</v>
      </c>
      <c r="I455" s="18" t="s">
        <v>48</v>
      </c>
      <c r="J455" s="18" t="s">
        <v>10</v>
      </c>
      <c r="K455" s="18" t="s">
        <v>10</v>
      </c>
      <c r="L455" s="18" t="s">
        <v>20</v>
      </c>
      <c r="M455" s="19" t="s">
        <v>364</v>
      </c>
      <c r="N455" s="19" t="str">
        <f t="shared" si="68"/>
        <v>Pelampung Suar</v>
      </c>
      <c r="O455" t="b">
        <f t="shared" si="70"/>
        <v>0</v>
      </c>
      <c r="Q455" s="12" t="s">
        <v>1061</v>
      </c>
      <c r="R455" s="29"/>
      <c r="S455" s="29"/>
      <c r="T455" s="29"/>
      <c r="U455" s="29"/>
      <c r="V455" s="29"/>
      <c r="W455" s="10"/>
      <c r="X455" t="str">
        <f t="shared" si="69"/>
        <v/>
      </c>
      <c r="Y455" s="10"/>
      <c r="Z455" s="10"/>
    </row>
    <row r="456" spans="1:26" ht="26.25" customHeight="1" x14ac:dyDescent="0.25">
      <c r="A456" t="s">
        <v>1129</v>
      </c>
      <c r="B456" t="str">
        <f t="shared" si="71"/>
        <v>....</v>
      </c>
      <c r="C456" t="str">
        <f t="shared" si="67"/>
        <v>Bertambah</v>
      </c>
      <c r="D456" t="str">
        <f t="shared" ref="D456:D513" si="72">F456&amp;"."&amp;G456&amp;"."&amp;H456&amp;"."&amp;I456&amp;"."&amp;J456&amp;"."&amp;K456&amp;"."&amp;L456</f>
        <v>1.3.3.03.01.01.005</v>
      </c>
      <c r="E456" s="12" t="s">
        <v>1062</v>
      </c>
      <c r="F456" s="17">
        <v>1</v>
      </c>
      <c r="G456" s="17">
        <v>3</v>
      </c>
      <c r="H456" s="17">
        <v>3</v>
      </c>
      <c r="I456" s="18" t="s">
        <v>48</v>
      </c>
      <c r="J456" s="18" t="s">
        <v>10</v>
      </c>
      <c r="K456" s="18" t="s">
        <v>10</v>
      </c>
      <c r="L456" s="18" t="s">
        <v>22</v>
      </c>
      <c r="M456" s="19" t="s">
        <v>365</v>
      </c>
      <c r="N456" s="19" t="str">
        <f t="shared" si="68"/>
        <v>Rambu Tanda Silang</v>
      </c>
      <c r="O456" t="b">
        <f t="shared" si="70"/>
        <v>0</v>
      </c>
      <c r="Q456" s="12" t="s">
        <v>1062</v>
      </c>
      <c r="R456" s="29"/>
      <c r="S456" s="29"/>
      <c r="T456" s="29"/>
      <c r="U456" s="29"/>
      <c r="V456" s="29"/>
      <c r="W456" s="10"/>
      <c r="X456" t="str">
        <f t="shared" si="69"/>
        <v/>
      </c>
      <c r="Y456" s="10"/>
      <c r="Z456" s="10"/>
    </row>
    <row r="457" spans="1:26" ht="26.25" customHeight="1" x14ac:dyDescent="0.25">
      <c r="A457" t="s">
        <v>1403</v>
      </c>
      <c r="B457" t="str">
        <f t="shared" si="71"/>
        <v>3.11.3.1.3</v>
      </c>
      <c r="C457" t="str">
        <f t="shared" si="67"/>
        <v>Berubah</v>
      </c>
      <c r="D457" t="str">
        <f t="shared" si="72"/>
        <v>1.3.3.03.01.01.006</v>
      </c>
      <c r="E457" s="12" t="s">
        <v>1063</v>
      </c>
      <c r="F457" s="4">
        <v>1</v>
      </c>
      <c r="G457" s="4">
        <v>3</v>
      </c>
      <c r="H457" s="4">
        <v>3</v>
      </c>
      <c r="I457" s="5" t="s">
        <v>48</v>
      </c>
      <c r="J457" s="5" t="s">
        <v>10</v>
      </c>
      <c r="K457" s="5" t="s">
        <v>10</v>
      </c>
      <c r="L457" s="5" t="s">
        <v>31</v>
      </c>
      <c r="M457" s="6" t="s">
        <v>23</v>
      </c>
      <c r="N457" s="6" t="str">
        <f t="shared" si="68"/>
        <v>Dst….</v>
      </c>
      <c r="O457" t="b">
        <f t="shared" si="70"/>
        <v>0</v>
      </c>
      <c r="Q457" s="12" t="s">
        <v>1063</v>
      </c>
      <c r="R457" s="27">
        <v>3</v>
      </c>
      <c r="S457" s="28">
        <v>11</v>
      </c>
      <c r="T457" s="28">
        <v>3</v>
      </c>
      <c r="U457" s="28">
        <v>1</v>
      </c>
      <c r="V457" s="28">
        <v>3</v>
      </c>
      <c r="W457" s="11" t="s">
        <v>415</v>
      </c>
      <c r="X457" t="str">
        <f t="shared" si="69"/>
        <v>Lain-lain</v>
      </c>
      <c r="Y457" s="13" t="s">
        <v>576</v>
      </c>
      <c r="Z457" s="13">
        <v>5</v>
      </c>
    </row>
    <row r="458" spans="1:26" ht="26.25" customHeight="1" x14ac:dyDescent="0.25">
      <c r="A458" t="s">
        <v>1404</v>
      </c>
      <c r="B458" t="str">
        <f t="shared" si="71"/>
        <v>3.11.3.2.*</v>
      </c>
      <c r="C458" t="str">
        <f t="shared" si="67"/>
        <v>Berubah</v>
      </c>
      <c r="D458" t="str">
        <f t="shared" si="72"/>
        <v>1.3.3.03.01.02.</v>
      </c>
      <c r="E458" s="12" t="s">
        <v>1064</v>
      </c>
      <c r="F458" s="4">
        <v>1</v>
      </c>
      <c r="G458" s="4">
        <v>3</v>
      </c>
      <c r="H458" s="4">
        <v>3</v>
      </c>
      <c r="I458" s="5" t="s">
        <v>48</v>
      </c>
      <c r="J458" s="5" t="s">
        <v>10</v>
      </c>
      <c r="K458" s="5" t="s">
        <v>24</v>
      </c>
      <c r="L458" s="5"/>
      <c r="M458" s="6" t="s">
        <v>366</v>
      </c>
      <c r="N458" s="6" t="str">
        <f t="shared" si="68"/>
        <v>BANGUNAN PERAMBUAN PENERANGAN PANTAI</v>
      </c>
      <c r="O458" t="b">
        <f t="shared" si="70"/>
        <v>0</v>
      </c>
      <c r="Q458" s="12" t="s">
        <v>1064</v>
      </c>
      <c r="R458" s="27">
        <v>3</v>
      </c>
      <c r="S458" s="28">
        <v>11</v>
      </c>
      <c r="T458" s="28">
        <v>3</v>
      </c>
      <c r="U458" s="28">
        <v>2</v>
      </c>
      <c r="V458" s="28" t="s">
        <v>411</v>
      </c>
      <c r="W458" s="11" t="s">
        <v>578</v>
      </c>
      <c r="X458" t="str">
        <f t="shared" si="69"/>
        <v>Bangunan Perambut Penerangan Pantai</v>
      </c>
      <c r="Y458" s="13" t="s">
        <v>576</v>
      </c>
      <c r="Z458" s="13">
        <v>6</v>
      </c>
    </row>
    <row r="459" spans="1:26" ht="26.25" customHeight="1" x14ac:dyDescent="0.25">
      <c r="A459" t="s">
        <v>1405</v>
      </c>
      <c r="B459" t="str">
        <f t="shared" si="71"/>
        <v>3.11.3.2.1</v>
      </c>
      <c r="C459" t="str">
        <f t="shared" si="67"/>
        <v>Berubah</v>
      </c>
      <c r="D459" t="str">
        <f t="shared" si="72"/>
        <v>1.3.3.03.01.02.001</v>
      </c>
      <c r="E459" s="12" t="s">
        <v>1065</v>
      </c>
      <c r="F459" s="4">
        <v>1</v>
      </c>
      <c r="G459" s="4">
        <v>3</v>
      </c>
      <c r="H459" s="4">
        <v>3</v>
      </c>
      <c r="I459" s="5" t="s">
        <v>48</v>
      </c>
      <c r="J459" s="5" t="s">
        <v>10</v>
      </c>
      <c r="K459" s="5" t="s">
        <v>24</v>
      </c>
      <c r="L459" s="5" t="s">
        <v>14</v>
      </c>
      <c r="M459" s="6" t="s">
        <v>367</v>
      </c>
      <c r="N459" s="6" t="str">
        <f t="shared" si="68"/>
        <v>Anak Pelampung</v>
      </c>
      <c r="O459" t="b">
        <f t="shared" si="70"/>
        <v>0</v>
      </c>
      <c r="Q459" s="12" t="s">
        <v>1065</v>
      </c>
      <c r="R459" s="27">
        <v>3</v>
      </c>
      <c r="S459" s="28">
        <v>11</v>
      </c>
      <c r="T459" s="28">
        <v>3</v>
      </c>
      <c r="U459" s="28">
        <v>2</v>
      </c>
      <c r="V459" s="28">
        <v>1</v>
      </c>
      <c r="W459" s="11" t="s">
        <v>580</v>
      </c>
      <c r="X459" t="str">
        <f t="shared" si="69"/>
        <v>Anak Pelampung</v>
      </c>
      <c r="Y459" s="13" t="s">
        <v>576</v>
      </c>
      <c r="Z459" s="13">
        <v>8</v>
      </c>
    </row>
    <row r="460" spans="1:26" ht="26.25" customHeight="1" x14ac:dyDescent="0.25">
      <c r="A460" t="s">
        <v>1406</v>
      </c>
      <c r="B460" t="str">
        <f t="shared" si="71"/>
        <v>3.11.3.2.2</v>
      </c>
      <c r="C460" t="str">
        <f t="shared" si="67"/>
        <v>Berubah</v>
      </c>
      <c r="D460" t="str">
        <f t="shared" si="72"/>
        <v>1.3.3.03.01.02.002</v>
      </c>
      <c r="E460" s="12" t="s">
        <v>1066</v>
      </c>
      <c r="F460" s="4">
        <v>1</v>
      </c>
      <c r="G460" s="4">
        <v>3</v>
      </c>
      <c r="H460" s="4">
        <v>3</v>
      </c>
      <c r="I460" s="5" t="s">
        <v>48</v>
      </c>
      <c r="J460" s="5" t="s">
        <v>10</v>
      </c>
      <c r="K460" s="5" t="s">
        <v>24</v>
      </c>
      <c r="L460" s="5" t="s">
        <v>16</v>
      </c>
      <c r="M460" s="6" t="s">
        <v>368</v>
      </c>
      <c r="N460" s="6" t="str">
        <f t="shared" si="68"/>
        <v>Rambu Berpuncak</v>
      </c>
      <c r="O460" t="b">
        <f t="shared" si="70"/>
        <v>0</v>
      </c>
      <c r="Q460" s="12" t="s">
        <v>1066</v>
      </c>
      <c r="R460" s="27">
        <v>3</v>
      </c>
      <c r="S460" s="28">
        <v>11</v>
      </c>
      <c r="T460" s="28">
        <v>3</v>
      </c>
      <c r="U460" s="28">
        <v>2</v>
      </c>
      <c r="V460" s="28">
        <v>2</v>
      </c>
      <c r="W460" s="11" t="s">
        <v>581</v>
      </c>
      <c r="X460" t="str">
        <f t="shared" si="69"/>
        <v>Rambu Bermuncak</v>
      </c>
      <c r="Y460" s="13" t="s">
        <v>576</v>
      </c>
      <c r="Z460" s="13">
        <v>9</v>
      </c>
    </row>
    <row r="461" spans="1:26" ht="26.25" customHeight="1" x14ac:dyDescent="0.25">
      <c r="A461" t="s">
        <v>1407</v>
      </c>
      <c r="B461" t="str">
        <f t="shared" si="71"/>
        <v>3.11.3.2.3</v>
      </c>
      <c r="C461" t="str">
        <f t="shared" si="67"/>
        <v>Berubah</v>
      </c>
      <c r="D461" t="str">
        <f t="shared" si="72"/>
        <v>1.3.3.03.01.02.003</v>
      </c>
      <c r="E461" s="12" t="s">
        <v>1067</v>
      </c>
      <c r="F461" s="4">
        <v>1</v>
      </c>
      <c r="G461" s="4">
        <v>3</v>
      </c>
      <c r="H461" s="4">
        <v>3</v>
      </c>
      <c r="I461" s="5" t="s">
        <v>48</v>
      </c>
      <c r="J461" s="5" t="s">
        <v>10</v>
      </c>
      <c r="K461" s="5" t="s">
        <v>24</v>
      </c>
      <c r="L461" s="5" t="s">
        <v>18</v>
      </c>
      <c r="M461" s="6" t="s">
        <v>23</v>
      </c>
      <c r="N461" s="6" t="str">
        <f t="shared" si="68"/>
        <v>Dst….</v>
      </c>
      <c r="O461" t="b">
        <f t="shared" si="70"/>
        <v>0</v>
      </c>
      <c r="Q461" s="12" t="s">
        <v>1067</v>
      </c>
      <c r="R461" s="27">
        <v>3</v>
      </c>
      <c r="S461" s="28">
        <v>11</v>
      </c>
      <c r="T461" s="28">
        <v>3</v>
      </c>
      <c r="U461" s="28">
        <v>2</v>
      </c>
      <c r="V461" s="28">
        <v>3</v>
      </c>
      <c r="W461" s="11" t="s">
        <v>415</v>
      </c>
      <c r="X461" t="str">
        <f t="shared" si="69"/>
        <v>Lain-lain</v>
      </c>
      <c r="Y461" s="13" t="s">
        <v>576</v>
      </c>
      <c r="Z461" s="13">
        <v>10</v>
      </c>
    </row>
    <row r="462" spans="1:26" ht="26.25" customHeight="1" x14ac:dyDescent="0.25">
      <c r="A462" t="s">
        <v>1408</v>
      </c>
      <c r="B462" t="str">
        <f t="shared" si="71"/>
        <v>.. . .</v>
      </c>
      <c r="C462" t="str">
        <f t="shared" si="67"/>
        <v>Bertambah</v>
      </c>
      <c r="D462" t="str">
        <f t="shared" si="72"/>
        <v>......</v>
      </c>
      <c r="E462" s="12" t="s">
        <v>1068</v>
      </c>
      <c r="F462" s="17"/>
      <c r="G462" s="17"/>
      <c r="H462" s="17"/>
      <c r="I462" s="18"/>
      <c r="J462" s="18"/>
      <c r="K462" s="18"/>
      <c r="L462" s="18"/>
      <c r="M462" s="19"/>
      <c r="N462" s="6" t="s">
        <v>386</v>
      </c>
      <c r="O462" t="b">
        <f>M462=W463</f>
        <v>1</v>
      </c>
      <c r="Q462" s="12" t="s">
        <v>1068</v>
      </c>
      <c r="R462" s="27"/>
      <c r="S462" s="28"/>
      <c r="T462" s="28" t="s">
        <v>416</v>
      </c>
      <c r="U462" s="28" t="s">
        <v>416</v>
      </c>
      <c r="V462" s="28"/>
      <c r="W462" s="11" t="s">
        <v>579</v>
      </c>
      <c r="X462" s="11"/>
      <c r="Y462" s="13" t="s">
        <v>576</v>
      </c>
      <c r="Z462" s="13">
        <v>7</v>
      </c>
    </row>
    <row r="463" spans="1:26" ht="26.25" customHeight="1" x14ac:dyDescent="0.25">
      <c r="A463" t="s">
        <v>1129</v>
      </c>
      <c r="B463" t="str">
        <f t="shared" si="71"/>
        <v>....</v>
      </c>
      <c r="C463" t="str">
        <f t="shared" si="67"/>
        <v>Bertambah</v>
      </c>
      <c r="D463" t="str">
        <f t="shared" si="72"/>
        <v>......</v>
      </c>
      <c r="E463" s="12" t="s">
        <v>1069</v>
      </c>
      <c r="F463" s="4"/>
      <c r="G463" s="4"/>
      <c r="H463" s="4"/>
      <c r="I463" s="5"/>
      <c r="J463" s="5"/>
      <c r="K463" s="5"/>
      <c r="L463" s="5"/>
      <c r="M463" s="6"/>
      <c r="N463" s="6" t="str">
        <f t="shared" ref="N463:N507" si="73">TRIM(M463)</f>
        <v/>
      </c>
      <c r="O463" t="b">
        <f t="shared" ref="O463:O507" si="74">M463=W463</f>
        <v>1</v>
      </c>
      <c r="Q463" s="12" t="s">
        <v>1069</v>
      </c>
      <c r="R463" s="29"/>
      <c r="S463" s="29"/>
      <c r="T463" s="29"/>
      <c r="U463" s="29"/>
      <c r="V463" s="29"/>
      <c r="W463" s="10"/>
      <c r="X463" t="str">
        <f t="shared" ref="X463:X507" si="75">TRIM(W463)</f>
        <v/>
      </c>
      <c r="Y463" s="10"/>
      <c r="Z463" s="10"/>
    </row>
    <row r="464" spans="1:26" ht="26.25" customHeight="1" x14ac:dyDescent="0.25">
      <c r="A464" t="s">
        <v>1409</v>
      </c>
      <c r="B464" t="str">
        <f t="shared" si="71"/>
        <v>3.11.3.3.*</v>
      </c>
      <c r="C464" t="str">
        <f t="shared" si="67"/>
        <v>Berubah</v>
      </c>
      <c r="D464" t="str">
        <f t="shared" si="72"/>
        <v>1.3.3.03.01.03.</v>
      </c>
      <c r="E464" s="12" t="s">
        <v>1070</v>
      </c>
      <c r="F464" s="4">
        <v>1</v>
      </c>
      <c r="G464" s="4">
        <v>3</v>
      </c>
      <c r="H464" s="4">
        <v>3</v>
      </c>
      <c r="I464" s="5" t="s">
        <v>48</v>
      </c>
      <c r="J464" s="5" t="s">
        <v>10</v>
      </c>
      <c r="K464" s="5" t="s">
        <v>48</v>
      </c>
      <c r="L464" s="5"/>
      <c r="M464" s="6" t="s">
        <v>369</v>
      </c>
      <c r="N464" s="6" t="str">
        <f t="shared" si="73"/>
        <v>BANGUNAN MENARA TELEKOMUNIKASI</v>
      </c>
      <c r="O464" t="b">
        <f t="shared" si="74"/>
        <v>1</v>
      </c>
      <c r="Q464" s="12" t="s">
        <v>1070</v>
      </c>
      <c r="R464" s="27">
        <v>3</v>
      </c>
      <c r="S464" s="28">
        <v>11</v>
      </c>
      <c r="T464" s="28">
        <v>3</v>
      </c>
      <c r="U464" s="28">
        <v>3</v>
      </c>
      <c r="V464" s="28" t="s">
        <v>411</v>
      </c>
      <c r="W464" s="11" t="s">
        <v>582</v>
      </c>
      <c r="X464" t="str">
        <f t="shared" si="75"/>
        <v>Bangunan Menara Telekomunikasi</v>
      </c>
      <c r="Y464" s="13" t="s">
        <v>576</v>
      </c>
      <c r="Z464" s="13">
        <v>11</v>
      </c>
    </row>
    <row r="465" spans="1:26" ht="26.25" customHeight="1" x14ac:dyDescent="0.25">
      <c r="A465" t="s">
        <v>1410</v>
      </c>
      <c r="B465" t="str">
        <f t="shared" si="71"/>
        <v>3.11.3.3.1</v>
      </c>
      <c r="C465" t="str">
        <f t="shared" si="67"/>
        <v>Berubah</v>
      </c>
      <c r="D465" t="str">
        <f t="shared" si="72"/>
        <v>1.3.3.03.01.03.001</v>
      </c>
      <c r="E465" s="12" t="s">
        <v>1071</v>
      </c>
      <c r="F465" s="4">
        <v>1</v>
      </c>
      <c r="G465" s="4">
        <v>3</v>
      </c>
      <c r="H465" s="4">
        <v>3</v>
      </c>
      <c r="I465" s="5" t="s">
        <v>48</v>
      </c>
      <c r="J465" s="5" t="s">
        <v>10</v>
      </c>
      <c r="K465" s="5" t="s">
        <v>48</v>
      </c>
      <c r="L465" s="5" t="s">
        <v>14</v>
      </c>
      <c r="M465" s="6" t="s">
        <v>370</v>
      </c>
      <c r="N465" s="6" t="str">
        <f t="shared" si="73"/>
        <v>Bangunan Menara Telpon</v>
      </c>
      <c r="O465" t="b">
        <f t="shared" si="74"/>
        <v>1</v>
      </c>
      <c r="Q465" s="12" t="s">
        <v>1071</v>
      </c>
      <c r="R465" s="27">
        <v>3</v>
      </c>
      <c r="S465" s="28">
        <v>11</v>
      </c>
      <c r="T465" s="28">
        <v>3</v>
      </c>
      <c r="U465" s="28">
        <v>3</v>
      </c>
      <c r="V465" s="28">
        <v>1</v>
      </c>
      <c r="W465" s="11" t="s">
        <v>370</v>
      </c>
      <c r="X465" t="str">
        <f t="shared" si="75"/>
        <v>Bangunan Menara Telpon</v>
      </c>
      <c r="Y465" s="13" t="s">
        <v>576</v>
      </c>
      <c r="Z465" s="13">
        <v>12</v>
      </c>
    </row>
    <row r="466" spans="1:26" ht="26.25" customHeight="1" x14ac:dyDescent="0.25">
      <c r="A466" t="s">
        <v>1411</v>
      </c>
      <c r="B466" t="str">
        <f t="shared" si="71"/>
        <v>3.11.3.3.2</v>
      </c>
      <c r="C466" t="str">
        <f t="shared" si="67"/>
        <v>Berubah</v>
      </c>
      <c r="D466" t="str">
        <f t="shared" si="72"/>
        <v>1.3.3.03.01.03.002</v>
      </c>
      <c r="E466" s="12" t="s">
        <v>1072</v>
      </c>
      <c r="F466" s="4">
        <v>1</v>
      </c>
      <c r="G466" s="4">
        <v>3</v>
      </c>
      <c r="H466" s="4">
        <v>3</v>
      </c>
      <c r="I466" s="5" t="s">
        <v>48</v>
      </c>
      <c r="J466" s="5" t="s">
        <v>10</v>
      </c>
      <c r="K466" s="5" t="s">
        <v>48</v>
      </c>
      <c r="L466" s="5" t="s">
        <v>16</v>
      </c>
      <c r="M466" s="6" t="s">
        <v>371</v>
      </c>
      <c r="N466" s="6" t="str">
        <f t="shared" si="73"/>
        <v>Bangunan Menara Radio</v>
      </c>
      <c r="O466" t="b">
        <f t="shared" si="74"/>
        <v>1</v>
      </c>
      <c r="Q466" s="12" t="s">
        <v>1072</v>
      </c>
      <c r="R466" s="27">
        <v>3</v>
      </c>
      <c r="S466" s="28">
        <v>11</v>
      </c>
      <c r="T466" s="28">
        <v>3</v>
      </c>
      <c r="U466" s="28">
        <v>3</v>
      </c>
      <c r="V466" s="28">
        <v>2</v>
      </c>
      <c r="W466" s="11" t="s">
        <v>371</v>
      </c>
      <c r="X466" t="str">
        <f t="shared" si="75"/>
        <v>Bangunan Menara Radio</v>
      </c>
      <c r="Y466" s="13" t="s">
        <v>576</v>
      </c>
      <c r="Z466" s="13">
        <v>13</v>
      </c>
    </row>
    <row r="467" spans="1:26" ht="26.25" customHeight="1" x14ac:dyDescent="0.25">
      <c r="A467" t="s">
        <v>1412</v>
      </c>
      <c r="B467" t="str">
        <f t="shared" si="71"/>
        <v>3.11.3.3.3</v>
      </c>
      <c r="C467" t="str">
        <f t="shared" si="67"/>
        <v>Berubah</v>
      </c>
      <c r="D467" t="str">
        <f t="shared" si="72"/>
        <v>1.3.3.03.01.03.003</v>
      </c>
      <c r="E467" s="12" t="s">
        <v>1073</v>
      </c>
      <c r="F467" s="4">
        <v>1</v>
      </c>
      <c r="G467" s="4">
        <v>3</v>
      </c>
      <c r="H467" s="4">
        <v>3</v>
      </c>
      <c r="I467" s="5" t="s">
        <v>48</v>
      </c>
      <c r="J467" s="5" t="s">
        <v>10</v>
      </c>
      <c r="K467" s="5" t="s">
        <v>48</v>
      </c>
      <c r="L467" s="5" t="s">
        <v>18</v>
      </c>
      <c r="M467" s="6" t="s">
        <v>372</v>
      </c>
      <c r="N467" s="6" t="str">
        <f t="shared" si="73"/>
        <v>Bangunan Menara Televisi</v>
      </c>
      <c r="O467" t="b">
        <f t="shared" si="74"/>
        <v>1</v>
      </c>
      <c r="Q467" s="12" t="s">
        <v>1073</v>
      </c>
      <c r="R467" s="27">
        <v>3</v>
      </c>
      <c r="S467" s="28">
        <v>11</v>
      </c>
      <c r="T467" s="28">
        <v>3</v>
      </c>
      <c r="U467" s="28">
        <v>3</v>
      </c>
      <c r="V467" s="28">
        <v>3</v>
      </c>
      <c r="W467" s="11" t="s">
        <v>372</v>
      </c>
      <c r="X467" t="str">
        <f t="shared" si="75"/>
        <v>Bangunan Menara Televisi</v>
      </c>
      <c r="Y467" s="13" t="s">
        <v>576</v>
      </c>
      <c r="Z467" s="13">
        <v>14</v>
      </c>
    </row>
    <row r="468" spans="1:26" ht="26.25" customHeight="1" x14ac:dyDescent="0.25">
      <c r="A468" t="s">
        <v>1413</v>
      </c>
      <c r="B468" t="str">
        <f t="shared" si="71"/>
        <v>3.11.3.3.4</v>
      </c>
      <c r="C468" t="str">
        <f t="shared" si="67"/>
        <v>Berubah</v>
      </c>
      <c r="D468" t="str">
        <f t="shared" si="72"/>
        <v>1.3.3.03.01.03.004</v>
      </c>
      <c r="E468" s="12" t="s">
        <v>1074</v>
      </c>
      <c r="F468" s="4">
        <v>1</v>
      </c>
      <c r="G468" s="4">
        <v>3</v>
      </c>
      <c r="H468" s="4">
        <v>3</v>
      </c>
      <c r="I468" s="5" t="s">
        <v>48</v>
      </c>
      <c r="J468" s="5" t="s">
        <v>10</v>
      </c>
      <c r="K468" s="5" t="s">
        <v>48</v>
      </c>
      <c r="L468" s="5" t="s">
        <v>20</v>
      </c>
      <c r="M468" s="6" t="s">
        <v>373</v>
      </c>
      <c r="N468" s="6" t="str">
        <f t="shared" si="73"/>
        <v>Bangunan Menara Pengatur Lalulintas Udara</v>
      </c>
      <c r="O468" t="b">
        <f t="shared" si="74"/>
        <v>1</v>
      </c>
      <c r="Q468" s="12" t="s">
        <v>1074</v>
      </c>
      <c r="R468" s="27">
        <v>3</v>
      </c>
      <c r="S468" s="28">
        <v>11</v>
      </c>
      <c r="T468" s="28">
        <v>3</v>
      </c>
      <c r="U468" s="28">
        <v>3</v>
      </c>
      <c r="V468" s="28">
        <v>4</v>
      </c>
      <c r="W468" s="11" t="s">
        <v>373</v>
      </c>
      <c r="X468" t="str">
        <f t="shared" si="75"/>
        <v>Bangunan Menara Pengatur Lalulintas Udara</v>
      </c>
      <c r="Y468" s="13" t="s">
        <v>576</v>
      </c>
      <c r="Z468" s="13">
        <v>15</v>
      </c>
    </row>
    <row r="469" spans="1:26" ht="26.25" customHeight="1" x14ac:dyDescent="0.25">
      <c r="A469" t="s">
        <v>1129</v>
      </c>
      <c r="B469" t="str">
        <f t="shared" si="71"/>
        <v>....</v>
      </c>
      <c r="C469" t="str">
        <f t="shared" si="67"/>
        <v>Bertambah</v>
      </c>
      <c r="D469" t="str">
        <f t="shared" si="72"/>
        <v>1.3.3.03.01.03.005</v>
      </c>
      <c r="E469" s="12" t="s">
        <v>1075</v>
      </c>
      <c r="F469" s="17">
        <v>1</v>
      </c>
      <c r="G469" s="17">
        <v>3</v>
      </c>
      <c r="H469" s="17">
        <v>3</v>
      </c>
      <c r="I469" s="18" t="s">
        <v>48</v>
      </c>
      <c r="J469" s="18" t="s">
        <v>10</v>
      </c>
      <c r="K469" s="18" t="s">
        <v>48</v>
      </c>
      <c r="L469" s="18" t="s">
        <v>22</v>
      </c>
      <c r="M469" s="19" t="s">
        <v>374</v>
      </c>
      <c r="N469" s="19" t="str">
        <f t="shared" si="73"/>
        <v>Bangunan Menara Antena Microwave/Parabolic</v>
      </c>
      <c r="O469" t="b">
        <f t="shared" si="74"/>
        <v>0</v>
      </c>
      <c r="Q469" s="12" t="s">
        <v>1075</v>
      </c>
      <c r="R469" s="29"/>
      <c r="S469" s="29"/>
      <c r="T469" s="29"/>
      <c r="U469" s="29"/>
      <c r="V469" s="29"/>
      <c r="W469" s="10"/>
      <c r="X469" t="str">
        <f t="shared" si="75"/>
        <v/>
      </c>
      <c r="Y469" s="10"/>
      <c r="Z469" s="10"/>
    </row>
    <row r="470" spans="1:26" ht="26.25" customHeight="1" x14ac:dyDescent="0.25">
      <c r="A470" t="s">
        <v>1414</v>
      </c>
      <c r="B470" t="str">
        <f t="shared" si="71"/>
        <v>3.11.3.3.5</v>
      </c>
      <c r="C470" t="str">
        <f t="shared" si="67"/>
        <v>Berubah</v>
      </c>
      <c r="D470" t="str">
        <f t="shared" si="72"/>
        <v>1.3.3.03.01.03.006</v>
      </c>
      <c r="E470" s="12" t="s">
        <v>1076</v>
      </c>
      <c r="F470" s="4">
        <v>1</v>
      </c>
      <c r="G470" s="4">
        <v>3</v>
      </c>
      <c r="H470" s="4">
        <v>3</v>
      </c>
      <c r="I470" s="5" t="s">
        <v>48</v>
      </c>
      <c r="J470" s="5" t="s">
        <v>10</v>
      </c>
      <c r="K470" s="5" t="s">
        <v>48</v>
      </c>
      <c r="L470" s="5" t="s">
        <v>31</v>
      </c>
      <c r="M470" s="6" t="s">
        <v>23</v>
      </c>
      <c r="N470" s="6" t="str">
        <f t="shared" si="73"/>
        <v>Dst….</v>
      </c>
      <c r="O470" t="b">
        <f t="shared" si="74"/>
        <v>0</v>
      </c>
      <c r="Q470" s="12" t="s">
        <v>1076</v>
      </c>
      <c r="R470" s="27">
        <v>3</v>
      </c>
      <c r="S470" s="28">
        <v>11</v>
      </c>
      <c r="T470" s="28">
        <v>3</v>
      </c>
      <c r="U470" s="28">
        <v>3</v>
      </c>
      <c r="V470" s="28">
        <v>5</v>
      </c>
      <c r="W470" s="11" t="s">
        <v>415</v>
      </c>
      <c r="X470" t="str">
        <f t="shared" si="75"/>
        <v>Lain-lain</v>
      </c>
      <c r="Y470" s="13" t="s">
        <v>576</v>
      </c>
      <c r="Z470" s="13">
        <v>16</v>
      </c>
    </row>
    <row r="471" spans="1:26" ht="26.25" customHeight="1" x14ac:dyDescent="0.25">
      <c r="A471" t="s">
        <v>1129</v>
      </c>
      <c r="B471" t="str">
        <f t="shared" si="71"/>
        <v>....</v>
      </c>
      <c r="C471" t="str">
        <f t="shared" si="67"/>
        <v>Bertambah</v>
      </c>
      <c r="D471" t="str">
        <f t="shared" si="72"/>
        <v>1.3.3.03.01.04.</v>
      </c>
      <c r="E471" s="12" t="s">
        <v>1077</v>
      </c>
      <c r="F471" s="17">
        <v>1</v>
      </c>
      <c r="G471" s="17">
        <v>3</v>
      </c>
      <c r="H471" s="17">
        <v>3</v>
      </c>
      <c r="I471" s="18" t="s">
        <v>48</v>
      </c>
      <c r="J471" s="18" t="s">
        <v>10</v>
      </c>
      <c r="K471" s="18" t="s">
        <v>54</v>
      </c>
      <c r="L471" s="18"/>
      <c r="M471" s="19" t="s">
        <v>375</v>
      </c>
      <c r="N471" s="19" t="str">
        <f t="shared" si="73"/>
        <v>BANGUNAN MENARA PENGAWAS</v>
      </c>
      <c r="O471" t="b">
        <f t="shared" si="74"/>
        <v>0</v>
      </c>
      <c r="Q471" s="12" t="s">
        <v>1077</v>
      </c>
      <c r="R471" s="29"/>
      <c r="S471" s="29"/>
      <c r="T471" s="29"/>
      <c r="U471" s="29"/>
      <c r="V471" s="29"/>
      <c r="W471" s="10"/>
      <c r="X471" t="str">
        <f t="shared" si="75"/>
        <v/>
      </c>
      <c r="Y471" s="10"/>
      <c r="Z471" s="10"/>
    </row>
    <row r="472" spans="1:26" ht="26.25" customHeight="1" x14ac:dyDescent="0.25">
      <c r="A472" t="s">
        <v>1129</v>
      </c>
      <c r="B472" t="str">
        <f t="shared" si="71"/>
        <v>....</v>
      </c>
      <c r="C472" t="str">
        <f t="shared" si="67"/>
        <v>Bertambah</v>
      </c>
      <c r="D472" t="str">
        <f t="shared" si="72"/>
        <v>1.3.3.03.01.04.001</v>
      </c>
      <c r="E472" s="12" t="s">
        <v>1078</v>
      </c>
      <c r="F472" s="17">
        <v>1</v>
      </c>
      <c r="G472" s="17">
        <v>3</v>
      </c>
      <c r="H472" s="17">
        <v>3</v>
      </c>
      <c r="I472" s="18" t="s">
        <v>48</v>
      </c>
      <c r="J472" s="18" t="s">
        <v>10</v>
      </c>
      <c r="K472" s="18" t="s">
        <v>54</v>
      </c>
      <c r="L472" s="18" t="s">
        <v>14</v>
      </c>
      <c r="M472" s="19" t="s">
        <v>376</v>
      </c>
      <c r="N472" s="19" t="str">
        <f t="shared" si="73"/>
        <v>Bangunan Menara Pengawas Permanen</v>
      </c>
      <c r="O472" t="b">
        <f t="shared" si="74"/>
        <v>0</v>
      </c>
      <c r="Q472" s="12" t="s">
        <v>1078</v>
      </c>
      <c r="R472" s="29"/>
      <c r="S472" s="29"/>
      <c r="T472" s="29"/>
      <c r="U472" s="29"/>
      <c r="V472" s="29"/>
      <c r="W472" s="10"/>
      <c r="X472" t="str">
        <f t="shared" si="75"/>
        <v/>
      </c>
      <c r="Y472" s="10"/>
      <c r="Z472" s="10"/>
    </row>
    <row r="473" spans="1:26" ht="26.25" customHeight="1" x14ac:dyDescent="0.25">
      <c r="A473" t="s">
        <v>1129</v>
      </c>
      <c r="B473" t="str">
        <f t="shared" si="71"/>
        <v>....</v>
      </c>
      <c r="C473" t="str">
        <f t="shared" si="67"/>
        <v>Bertambah</v>
      </c>
      <c r="D473" t="str">
        <f t="shared" si="72"/>
        <v>1.3.3.03.01.04.002</v>
      </c>
      <c r="E473" s="12" t="s">
        <v>1079</v>
      </c>
      <c r="F473" s="17">
        <v>1</v>
      </c>
      <c r="G473" s="17">
        <v>3</v>
      </c>
      <c r="H473" s="17">
        <v>3</v>
      </c>
      <c r="I473" s="18" t="s">
        <v>48</v>
      </c>
      <c r="J473" s="18" t="s">
        <v>10</v>
      </c>
      <c r="K473" s="18" t="s">
        <v>54</v>
      </c>
      <c r="L473" s="18" t="s">
        <v>16</v>
      </c>
      <c r="M473" s="19" t="s">
        <v>377</v>
      </c>
      <c r="N473" s="19" t="str">
        <f t="shared" si="73"/>
        <v>Bangunan Menara Pengawas Semi Permanen</v>
      </c>
      <c r="O473" t="b">
        <f t="shared" si="74"/>
        <v>0</v>
      </c>
      <c r="Q473" s="12" t="s">
        <v>1079</v>
      </c>
      <c r="R473" s="29"/>
      <c r="S473" s="29"/>
      <c r="T473" s="29"/>
      <c r="U473" s="29"/>
      <c r="V473" s="29"/>
      <c r="W473" s="10"/>
      <c r="X473" t="str">
        <f t="shared" si="75"/>
        <v/>
      </c>
      <c r="Y473" s="10"/>
      <c r="Z473" s="10"/>
    </row>
    <row r="474" spans="1:26" ht="26.25" customHeight="1" x14ac:dyDescent="0.25">
      <c r="A474" t="s">
        <v>1129</v>
      </c>
      <c r="B474" t="str">
        <f t="shared" si="71"/>
        <v>....</v>
      </c>
      <c r="C474" t="str">
        <f t="shared" si="67"/>
        <v>Bertambah</v>
      </c>
      <c r="D474" t="str">
        <f t="shared" si="72"/>
        <v>1.3.3.03.01.04.003</v>
      </c>
      <c r="E474" s="12" t="s">
        <v>1080</v>
      </c>
      <c r="F474" s="17">
        <v>1</v>
      </c>
      <c r="G474" s="17">
        <v>3</v>
      </c>
      <c r="H474" s="17">
        <v>3</v>
      </c>
      <c r="I474" s="18" t="s">
        <v>48</v>
      </c>
      <c r="J474" s="18" t="s">
        <v>10</v>
      </c>
      <c r="K474" s="18" t="s">
        <v>54</v>
      </c>
      <c r="L474" s="18" t="s">
        <v>18</v>
      </c>
      <c r="M474" s="19" t="s">
        <v>378</v>
      </c>
      <c r="N474" s="19" t="str">
        <f t="shared" si="73"/>
        <v>Bangunan Menara Pengawas Semi Darurat</v>
      </c>
      <c r="O474" t="b">
        <f t="shared" si="74"/>
        <v>0</v>
      </c>
      <c r="Q474" s="12" t="s">
        <v>1080</v>
      </c>
      <c r="R474" s="29"/>
      <c r="S474" s="29"/>
      <c r="T474" s="29"/>
      <c r="U474" s="29"/>
      <c r="V474" s="29"/>
      <c r="W474" s="10"/>
      <c r="X474" t="str">
        <f t="shared" si="75"/>
        <v/>
      </c>
      <c r="Y474" s="10"/>
      <c r="Z474" s="10"/>
    </row>
    <row r="475" spans="1:26" ht="26.25" customHeight="1" x14ac:dyDescent="0.25">
      <c r="A475" t="s">
        <v>1129</v>
      </c>
      <c r="B475" t="str">
        <f t="shared" si="71"/>
        <v>....</v>
      </c>
      <c r="C475" t="str">
        <f t="shared" si="67"/>
        <v>Bertambah</v>
      </c>
      <c r="D475" t="str">
        <f t="shared" si="72"/>
        <v>1.3.3.03.01.04.004</v>
      </c>
      <c r="E475" s="12" t="s">
        <v>1081</v>
      </c>
      <c r="F475" s="17">
        <v>1</v>
      </c>
      <c r="G475" s="17">
        <v>3</v>
      </c>
      <c r="H475" s="17">
        <v>3</v>
      </c>
      <c r="I475" s="18" t="s">
        <v>48</v>
      </c>
      <c r="J475" s="18" t="s">
        <v>10</v>
      </c>
      <c r="K475" s="18" t="s">
        <v>54</v>
      </c>
      <c r="L475" s="18" t="s">
        <v>20</v>
      </c>
      <c r="M475" s="19" t="s">
        <v>23</v>
      </c>
      <c r="N475" s="19" t="str">
        <f t="shared" si="73"/>
        <v>Dst….</v>
      </c>
      <c r="O475" t="b">
        <f t="shared" si="74"/>
        <v>0</v>
      </c>
      <c r="Q475" s="12" t="s">
        <v>1081</v>
      </c>
      <c r="R475" s="29"/>
      <c r="S475" s="29"/>
      <c r="T475" s="29"/>
      <c r="U475" s="29"/>
      <c r="V475" s="29"/>
      <c r="W475" s="10"/>
      <c r="X475" t="str">
        <f t="shared" si="75"/>
        <v/>
      </c>
      <c r="Y475" s="10"/>
      <c r="Z475" s="10"/>
    </row>
    <row r="476" spans="1:26" ht="26.25" customHeight="1" x14ac:dyDescent="0.25">
      <c r="A476" t="s">
        <v>1129</v>
      </c>
      <c r="B476" t="str">
        <f t="shared" si="71"/>
        <v>....</v>
      </c>
      <c r="C476" t="str">
        <f t="shared" si="67"/>
        <v>Bertambah</v>
      </c>
      <c r="D476" t="str">
        <f t="shared" si="72"/>
        <v>1.3.3.03.01.05.</v>
      </c>
      <c r="E476" s="12" t="s">
        <v>1082</v>
      </c>
      <c r="F476" s="17">
        <v>1</v>
      </c>
      <c r="G476" s="17">
        <v>3</v>
      </c>
      <c r="H476" s="17">
        <v>3</v>
      </c>
      <c r="I476" s="18" t="s">
        <v>48</v>
      </c>
      <c r="J476" s="18" t="s">
        <v>10</v>
      </c>
      <c r="K476" s="18" t="s">
        <v>61</v>
      </c>
      <c r="L476" s="18"/>
      <c r="M476" s="19" t="s">
        <v>379</v>
      </c>
      <c r="N476" s="19" t="str">
        <f t="shared" si="73"/>
        <v>BANGUNAN MENARA PERAMBUAN LAINNYA</v>
      </c>
      <c r="O476" t="b">
        <f t="shared" si="74"/>
        <v>0</v>
      </c>
      <c r="Q476" s="12" t="s">
        <v>1082</v>
      </c>
      <c r="R476" s="29"/>
      <c r="S476" s="29"/>
      <c r="T476" s="29"/>
      <c r="U476" s="29"/>
      <c r="V476" s="29"/>
      <c r="W476" s="10"/>
      <c r="X476" t="str">
        <f t="shared" si="75"/>
        <v/>
      </c>
      <c r="Y476" s="10"/>
      <c r="Z476" s="10"/>
    </row>
    <row r="477" spans="1:26" ht="26.25" customHeight="1" x14ac:dyDescent="0.25">
      <c r="A477" t="s">
        <v>1129</v>
      </c>
      <c r="B477" t="str">
        <f t="shared" si="71"/>
        <v>....</v>
      </c>
      <c r="C477" t="str">
        <f t="shared" si="67"/>
        <v>Bertambah</v>
      </c>
      <c r="D477" t="str">
        <f t="shared" si="72"/>
        <v>1.3.3.03.01.05.001</v>
      </c>
      <c r="E477" s="12" t="s">
        <v>1083</v>
      </c>
      <c r="F477" s="17">
        <v>1</v>
      </c>
      <c r="G477" s="17">
        <v>3</v>
      </c>
      <c r="H477" s="17">
        <v>3</v>
      </c>
      <c r="I477" s="18" t="s">
        <v>48</v>
      </c>
      <c r="J477" s="18" t="s">
        <v>10</v>
      </c>
      <c r="K477" s="18" t="s">
        <v>61</v>
      </c>
      <c r="L477" s="18" t="s">
        <v>14</v>
      </c>
      <c r="M477" s="19" t="s">
        <v>23</v>
      </c>
      <c r="N477" s="19" t="str">
        <f t="shared" si="73"/>
        <v>Dst….</v>
      </c>
      <c r="O477" t="b">
        <f t="shared" si="74"/>
        <v>0</v>
      </c>
      <c r="Q477" s="12" t="s">
        <v>1083</v>
      </c>
      <c r="R477" s="29"/>
      <c r="S477" s="29"/>
      <c r="T477" s="29"/>
      <c r="U477" s="29"/>
      <c r="V477" s="29"/>
      <c r="W477" s="10"/>
      <c r="X477" t="str">
        <f t="shared" si="75"/>
        <v/>
      </c>
      <c r="Y477" s="10"/>
      <c r="Z477" s="10"/>
    </row>
    <row r="478" spans="1:26" ht="26.25" customHeight="1" x14ac:dyDescent="0.25">
      <c r="A478" t="s">
        <v>1415</v>
      </c>
      <c r="B478" t="str">
        <f t="shared" si="71"/>
        <v>3.12.6.1.*</v>
      </c>
      <c r="C478" t="str">
        <f t="shared" si="67"/>
        <v>Berubah</v>
      </c>
      <c r="D478" t="str">
        <f t="shared" si="72"/>
        <v>1.3.3.04...</v>
      </c>
      <c r="E478" s="12" t="s">
        <v>1084</v>
      </c>
      <c r="F478" s="4">
        <v>1</v>
      </c>
      <c r="G478" s="4">
        <v>3</v>
      </c>
      <c r="H478" s="4">
        <v>3</v>
      </c>
      <c r="I478" s="5" t="s">
        <v>54</v>
      </c>
      <c r="J478" s="4"/>
      <c r="K478" s="5"/>
      <c r="L478" s="5"/>
      <c r="M478" s="6" t="s">
        <v>380</v>
      </c>
      <c r="N478" s="6" t="str">
        <f t="shared" si="73"/>
        <v>TUGU TITIK KONTROL/PASTI</v>
      </c>
      <c r="O478" t="b">
        <f t="shared" si="74"/>
        <v>1</v>
      </c>
      <c r="Q478" s="12" t="s">
        <v>1084</v>
      </c>
      <c r="R478" s="27">
        <v>3</v>
      </c>
      <c r="S478" s="28">
        <v>12</v>
      </c>
      <c r="T478" s="28">
        <v>6</v>
      </c>
      <c r="U478" s="28">
        <v>1</v>
      </c>
      <c r="V478" s="28" t="s">
        <v>411</v>
      </c>
      <c r="W478" s="11" t="s">
        <v>380</v>
      </c>
      <c r="X478" t="str">
        <f t="shared" si="75"/>
        <v>TUGU TITIK KONTROL/PASTI</v>
      </c>
      <c r="Y478" s="13" t="s">
        <v>600</v>
      </c>
      <c r="Z478" s="13">
        <v>1</v>
      </c>
    </row>
    <row r="479" spans="1:26" ht="26.25" customHeight="1" x14ac:dyDescent="0.25">
      <c r="A479" t="s">
        <v>1415</v>
      </c>
      <c r="B479" t="str">
        <f t="shared" si="71"/>
        <v>3.12.6.1.*</v>
      </c>
      <c r="C479" t="str">
        <f t="shared" si="67"/>
        <v>Berubah</v>
      </c>
      <c r="D479" t="str">
        <f t="shared" si="72"/>
        <v>1.3.3.04.01..</v>
      </c>
      <c r="E479" s="12" t="s">
        <v>1085</v>
      </c>
      <c r="F479" s="4">
        <v>1</v>
      </c>
      <c r="G479" s="4">
        <v>3</v>
      </c>
      <c r="H479" s="4">
        <v>3</v>
      </c>
      <c r="I479" s="5" t="s">
        <v>54</v>
      </c>
      <c r="J479" s="5" t="s">
        <v>10</v>
      </c>
      <c r="K479" s="5"/>
      <c r="L479" s="5"/>
      <c r="M479" s="6" t="s">
        <v>381</v>
      </c>
      <c r="N479" s="6" t="str">
        <f t="shared" si="73"/>
        <v>TUGU/TANDA BATAS</v>
      </c>
      <c r="O479" t="b">
        <f t="shared" si="74"/>
        <v>1</v>
      </c>
      <c r="Q479" s="12" t="s">
        <v>1085</v>
      </c>
      <c r="R479" s="27">
        <v>3</v>
      </c>
      <c r="S479" s="28">
        <v>12</v>
      </c>
      <c r="T479" s="28">
        <v>6</v>
      </c>
      <c r="U479" s="28">
        <v>1</v>
      </c>
      <c r="V479" s="28" t="s">
        <v>411</v>
      </c>
      <c r="W479" s="11" t="s">
        <v>601</v>
      </c>
      <c r="X479" t="str">
        <f t="shared" si="75"/>
        <v>Tugu/Tanda Batas</v>
      </c>
      <c r="Y479" s="13" t="s">
        <v>600</v>
      </c>
      <c r="Z479" s="13">
        <v>2</v>
      </c>
    </row>
    <row r="480" spans="1:26" ht="26.25" customHeight="1" x14ac:dyDescent="0.25">
      <c r="A480" t="s">
        <v>1129</v>
      </c>
      <c r="B480" t="str">
        <f t="shared" si="71"/>
        <v>....</v>
      </c>
      <c r="C480" t="str">
        <f t="shared" si="67"/>
        <v>Bertambah</v>
      </c>
      <c r="D480" t="str">
        <f t="shared" si="72"/>
        <v>1.3.3.04.01.01.</v>
      </c>
      <c r="E480" s="12" t="s">
        <v>1086</v>
      </c>
      <c r="F480" s="17">
        <v>1</v>
      </c>
      <c r="G480" s="17">
        <v>3</v>
      </c>
      <c r="H480" s="17">
        <v>3</v>
      </c>
      <c r="I480" s="18" t="s">
        <v>54</v>
      </c>
      <c r="J480" s="18" t="s">
        <v>10</v>
      </c>
      <c r="K480" s="18" t="s">
        <v>10</v>
      </c>
      <c r="L480" s="18"/>
      <c r="M480" s="19" t="s">
        <v>382</v>
      </c>
      <c r="N480" s="19" t="str">
        <f t="shared" si="73"/>
        <v>TUGU/TANDA BATAS ADMINISTRASI</v>
      </c>
      <c r="O480" t="b">
        <f t="shared" si="74"/>
        <v>0</v>
      </c>
      <c r="Q480" s="12" t="s">
        <v>1086</v>
      </c>
      <c r="R480" s="29"/>
      <c r="S480" s="29"/>
      <c r="T480" s="29"/>
      <c r="U480" s="29"/>
      <c r="V480" s="29"/>
      <c r="W480" s="10"/>
      <c r="X480" t="str">
        <f t="shared" si="75"/>
        <v/>
      </c>
      <c r="Y480" s="10"/>
      <c r="Z480" s="10"/>
    </row>
    <row r="481" spans="1:26" ht="26.25" customHeight="1" x14ac:dyDescent="0.25">
      <c r="A481" t="s">
        <v>1416</v>
      </c>
      <c r="B481" t="str">
        <f t="shared" si="71"/>
        <v>3.12.6.1.1</v>
      </c>
      <c r="C481" t="str">
        <f t="shared" si="67"/>
        <v>Berubah</v>
      </c>
      <c r="D481" t="str">
        <f t="shared" si="72"/>
        <v>1.3.3.04.01.01.001</v>
      </c>
      <c r="E481" s="12" t="s">
        <v>1087</v>
      </c>
      <c r="F481" s="4">
        <v>1</v>
      </c>
      <c r="G481" s="4">
        <v>3</v>
      </c>
      <c r="H481" s="4">
        <v>3</v>
      </c>
      <c r="I481" s="5" t="s">
        <v>54</v>
      </c>
      <c r="J481" s="5" t="s">
        <v>10</v>
      </c>
      <c r="K481" s="5" t="s">
        <v>10</v>
      </c>
      <c r="L481" s="5" t="s">
        <v>14</v>
      </c>
      <c r="M481" s="6" t="s">
        <v>383</v>
      </c>
      <c r="N481" s="6" t="str">
        <f t="shared" si="73"/>
        <v>Tugu/Tanda Batas Administrasi Negara</v>
      </c>
      <c r="O481" t="b">
        <f t="shared" si="74"/>
        <v>0</v>
      </c>
      <c r="Q481" s="12" t="s">
        <v>1087</v>
      </c>
      <c r="R481" s="27">
        <v>3</v>
      </c>
      <c r="S481" s="28">
        <v>12</v>
      </c>
      <c r="T481" s="28">
        <v>6</v>
      </c>
      <c r="U481" s="28">
        <v>1</v>
      </c>
      <c r="V481" s="28">
        <v>1</v>
      </c>
      <c r="W481" s="11" t="s">
        <v>602</v>
      </c>
      <c r="X481" t="str">
        <f t="shared" si="75"/>
        <v>Tugu/ tanda batas Administrasi Negara</v>
      </c>
      <c r="Y481" s="13" t="s">
        <v>600</v>
      </c>
      <c r="Z481" s="13">
        <v>3</v>
      </c>
    </row>
    <row r="482" spans="1:26" ht="26.25" customHeight="1" x14ac:dyDescent="0.25">
      <c r="A482" t="s">
        <v>1417</v>
      </c>
      <c r="B482" t="str">
        <f t="shared" si="71"/>
        <v>3.12.6.1.2</v>
      </c>
      <c r="C482" t="str">
        <f t="shared" si="67"/>
        <v>Berubah</v>
      </c>
      <c r="D482" t="str">
        <f t="shared" si="72"/>
        <v>1.3.3.04.01.01.002</v>
      </c>
      <c r="E482" s="12" t="s">
        <v>1088</v>
      </c>
      <c r="F482" s="4">
        <v>1</v>
      </c>
      <c r="G482" s="4">
        <v>3</v>
      </c>
      <c r="H482" s="4">
        <v>3</v>
      </c>
      <c r="I482" s="5" t="s">
        <v>54</v>
      </c>
      <c r="J482" s="5" t="s">
        <v>10</v>
      </c>
      <c r="K482" s="5" t="s">
        <v>10</v>
      </c>
      <c r="L482" s="5" t="s">
        <v>16</v>
      </c>
      <c r="M482" s="6" t="s">
        <v>384</v>
      </c>
      <c r="N482" s="6" t="str">
        <f t="shared" si="73"/>
        <v>Tugu/Tanda Batas Administrasi Propinsi</v>
      </c>
      <c r="O482" t="b">
        <f t="shared" si="74"/>
        <v>0</v>
      </c>
      <c r="Q482" s="12" t="s">
        <v>1088</v>
      </c>
      <c r="R482" s="27">
        <v>3</v>
      </c>
      <c r="S482" s="28">
        <v>12</v>
      </c>
      <c r="T482" s="28">
        <v>6</v>
      </c>
      <c r="U482" s="28">
        <v>1</v>
      </c>
      <c r="V482" s="28">
        <v>2</v>
      </c>
      <c r="W482" s="11" t="s">
        <v>603</v>
      </c>
      <c r="X482" t="str">
        <f t="shared" si="75"/>
        <v>Tugu/tanda Batas Administrasi Prop</v>
      </c>
      <c r="Y482" s="13" t="s">
        <v>600</v>
      </c>
      <c r="Z482" s="13">
        <v>4</v>
      </c>
    </row>
    <row r="483" spans="1:26" ht="26.25" customHeight="1" x14ac:dyDescent="0.25">
      <c r="A483" t="s">
        <v>1418</v>
      </c>
      <c r="B483" t="str">
        <f t="shared" si="71"/>
        <v>3.12.6.1.3</v>
      </c>
      <c r="C483" t="str">
        <f t="shared" si="67"/>
        <v>Berubah</v>
      </c>
      <c r="D483" t="str">
        <f t="shared" si="72"/>
        <v>1.3.3.04.01.01.003</v>
      </c>
      <c r="E483" s="12" t="s">
        <v>1089</v>
      </c>
      <c r="F483" s="4">
        <v>1</v>
      </c>
      <c r="G483" s="4">
        <v>3</v>
      </c>
      <c r="H483" s="4">
        <v>3</v>
      </c>
      <c r="I483" s="5" t="s">
        <v>54</v>
      </c>
      <c r="J483" s="5" t="s">
        <v>10</v>
      </c>
      <c r="K483" s="5" t="s">
        <v>10</v>
      </c>
      <c r="L483" s="5" t="s">
        <v>18</v>
      </c>
      <c r="M483" s="6" t="s">
        <v>385</v>
      </c>
      <c r="N483" s="6" t="str">
        <f t="shared" si="73"/>
        <v>Tugu/Tanda Batas Administrasi Kabupaten</v>
      </c>
      <c r="O483" t="b">
        <f t="shared" si="74"/>
        <v>0</v>
      </c>
      <c r="Q483" s="12" t="s">
        <v>1089</v>
      </c>
      <c r="R483" s="27">
        <v>3</v>
      </c>
      <c r="S483" s="28">
        <v>12</v>
      </c>
      <c r="T483" s="28">
        <v>6</v>
      </c>
      <c r="U483" s="28">
        <v>1</v>
      </c>
      <c r="V483" s="28">
        <v>3</v>
      </c>
      <c r="W483" s="11" t="s">
        <v>604</v>
      </c>
      <c r="X483" t="str">
        <f t="shared" si="75"/>
        <v>Tugu/Tanda Batas Adminstrasi Kabupaten</v>
      </c>
      <c r="Y483" s="13" t="s">
        <v>600</v>
      </c>
      <c r="Z483" s="13">
        <v>5</v>
      </c>
    </row>
    <row r="484" spans="1:26" ht="26.25" customHeight="1" x14ac:dyDescent="0.25">
      <c r="A484" t="s">
        <v>1419</v>
      </c>
      <c r="B484" t="str">
        <f t="shared" si="71"/>
        <v>3.12.6.1.4</v>
      </c>
      <c r="C484" t="str">
        <f t="shared" si="67"/>
        <v>Berubah</v>
      </c>
      <c r="D484" t="str">
        <f t="shared" si="72"/>
        <v>1.3.3.04.01.01.004</v>
      </c>
      <c r="E484" s="12" t="s">
        <v>1090</v>
      </c>
      <c r="F484" s="4">
        <v>1</v>
      </c>
      <c r="G484" s="4">
        <v>3</v>
      </c>
      <c r="H484" s="4">
        <v>3</v>
      </c>
      <c r="I484" s="5" t="s">
        <v>54</v>
      </c>
      <c r="J484" s="5" t="s">
        <v>10</v>
      </c>
      <c r="K484" s="5" t="s">
        <v>10</v>
      </c>
      <c r="L484" s="5" t="s">
        <v>20</v>
      </c>
      <c r="M484" s="6" t="s">
        <v>386</v>
      </c>
      <c r="N484" s="6" t="str">
        <f t="shared" si="73"/>
        <v>Tugu/Tanda Batas Administrasi Kotamadya</v>
      </c>
      <c r="O484" t="b">
        <f t="shared" si="74"/>
        <v>0</v>
      </c>
      <c r="Q484" s="12" t="s">
        <v>1090</v>
      </c>
      <c r="R484" s="27">
        <v>3</v>
      </c>
      <c r="S484" s="28">
        <v>12</v>
      </c>
      <c r="T484" s="28">
        <v>6</v>
      </c>
      <c r="U484" s="28">
        <v>1</v>
      </c>
      <c r="V484" s="28">
        <v>4</v>
      </c>
      <c r="W484" s="11" t="s">
        <v>605</v>
      </c>
      <c r="X484" t="str">
        <f t="shared" si="75"/>
        <v>Tugu/ Tanda Batas Administrasi Kota madya</v>
      </c>
      <c r="Y484" s="13" t="s">
        <v>600</v>
      </c>
      <c r="Z484" s="13">
        <v>6</v>
      </c>
    </row>
    <row r="485" spans="1:26" ht="26.25" customHeight="1" x14ac:dyDescent="0.25">
      <c r="A485" t="s">
        <v>1420</v>
      </c>
      <c r="B485" t="str">
        <f t="shared" si="71"/>
        <v>3.12.6.1.5</v>
      </c>
      <c r="C485" t="str">
        <f t="shared" si="67"/>
        <v>Berubah</v>
      </c>
      <c r="D485" t="str">
        <f t="shared" si="72"/>
        <v>1.3.3.04.01.01.005</v>
      </c>
      <c r="E485" s="12" t="s">
        <v>1091</v>
      </c>
      <c r="F485" s="4">
        <v>1</v>
      </c>
      <c r="G485" s="4">
        <v>3</v>
      </c>
      <c r="H485" s="4">
        <v>3</v>
      </c>
      <c r="I485" s="5" t="s">
        <v>54</v>
      </c>
      <c r="J485" s="5" t="s">
        <v>10</v>
      </c>
      <c r="K485" s="5" t="s">
        <v>10</v>
      </c>
      <c r="L485" s="5" t="s">
        <v>22</v>
      </c>
      <c r="M485" s="6" t="s">
        <v>387</v>
      </c>
      <c r="N485" s="6" t="str">
        <f t="shared" si="73"/>
        <v>Tugu/Tanda Batas Administrasi Kota Administratif</v>
      </c>
      <c r="O485" t="b">
        <f t="shared" si="74"/>
        <v>0</v>
      </c>
      <c r="Q485" s="12" t="s">
        <v>1091</v>
      </c>
      <c r="R485" s="27">
        <v>3</v>
      </c>
      <c r="S485" s="28">
        <v>12</v>
      </c>
      <c r="T485" s="28">
        <v>6</v>
      </c>
      <c r="U485" s="28">
        <v>1</v>
      </c>
      <c r="V485" s="28">
        <v>5</v>
      </c>
      <c r="W485" s="11" t="s">
        <v>606</v>
      </c>
      <c r="X485" t="str">
        <f t="shared" si="75"/>
        <v>Tugu/ Tanda Batas Administrasi Kota Administratif</v>
      </c>
      <c r="Y485" s="13" t="s">
        <v>600</v>
      </c>
      <c r="Z485" s="13">
        <v>7</v>
      </c>
    </row>
    <row r="486" spans="1:26" ht="26.25" customHeight="1" x14ac:dyDescent="0.25">
      <c r="A486" t="s">
        <v>1421</v>
      </c>
      <c r="B486" t="str">
        <f t="shared" si="71"/>
        <v>3.12.6.1.6</v>
      </c>
      <c r="C486" t="str">
        <f t="shared" si="67"/>
        <v>Berubah</v>
      </c>
      <c r="D486" t="str">
        <f t="shared" si="72"/>
        <v>1.3.3.04.01.01.006</v>
      </c>
      <c r="E486" s="12" t="s">
        <v>1092</v>
      </c>
      <c r="F486" s="4">
        <v>1</v>
      </c>
      <c r="G486" s="4">
        <v>3</v>
      </c>
      <c r="H486" s="4">
        <v>3</v>
      </c>
      <c r="I486" s="5" t="s">
        <v>54</v>
      </c>
      <c r="J486" s="5" t="s">
        <v>10</v>
      </c>
      <c r="K486" s="5" t="s">
        <v>10</v>
      </c>
      <c r="L486" s="5" t="s">
        <v>31</v>
      </c>
      <c r="M486" s="6" t="s">
        <v>388</v>
      </c>
      <c r="N486" s="6" t="str">
        <f t="shared" si="73"/>
        <v>Tugu/Tanda Batas Administrasi Kecamatan</v>
      </c>
      <c r="O486" t="b">
        <f t="shared" si="74"/>
        <v>0</v>
      </c>
      <c r="Q486" s="12" t="s">
        <v>1092</v>
      </c>
      <c r="R486" s="27">
        <v>3</v>
      </c>
      <c r="S486" s="28">
        <v>12</v>
      </c>
      <c r="T486" s="28">
        <v>6</v>
      </c>
      <c r="U486" s="28">
        <v>1</v>
      </c>
      <c r="V486" s="28">
        <v>6</v>
      </c>
      <c r="W486" s="11" t="s">
        <v>607</v>
      </c>
      <c r="X486" t="str">
        <f t="shared" si="75"/>
        <v>Tugu/ Tanda Batas Administrasi Kec.</v>
      </c>
      <c r="Y486" s="13" t="s">
        <v>600</v>
      </c>
      <c r="Z486" s="13">
        <v>8</v>
      </c>
    </row>
    <row r="487" spans="1:26" ht="26.25" customHeight="1" x14ac:dyDescent="0.25">
      <c r="A487" t="s">
        <v>1422</v>
      </c>
      <c r="B487" t="str">
        <f t="shared" si="71"/>
        <v>3.12.6.1.7</v>
      </c>
      <c r="C487" t="str">
        <f t="shared" si="67"/>
        <v>Berubah</v>
      </c>
      <c r="D487" t="str">
        <f t="shared" si="72"/>
        <v>1.3.3.04.01.01.007</v>
      </c>
      <c r="E487" s="12" t="s">
        <v>1093</v>
      </c>
      <c r="F487" s="4">
        <v>1</v>
      </c>
      <c r="G487" s="4">
        <v>3</v>
      </c>
      <c r="H487" s="4">
        <v>3</v>
      </c>
      <c r="I487" s="5" t="s">
        <v>54</v>
      </c>
      <c r="J487" s="5" t="s">
        <v>10</v>
      </c>
      <c r="K487" s="5" t="s">
        <v>10</v>
      </c>
      <c r="L487" s="5" t="s">
        <v>33</v>
      </c>
      <c r="M487" s="6" t="s">
        <v>389</v>
      </c>
      <c r="N487" s="6" t="str">
        <f t="shared" si="73"/>
        <v>Tugu/Tanda Batas Administrasi Desa</v>
      </c>
      <c r="O487" t="b">
        <f t="shared" si="74"/>
        <v>0</v>
      </c>
      <c r="Q487" s="12" t="s">
        <v>1093</v>
      </c>
      <c r="R487" s="27">
        <v>3</v>
      </c>
      <c r="S487" s="28">
        <v>12</v>
      </c>
      <c r="T487" s="28">
        <v>6</v>
      </c>
      <c r="U487" s="28">
        <v>1</v>
      </c>
      <c r="V487" s="28">
        <v>7</v>
      </c>
      <c r="W487" s="11" t="s">
        <v>608</v>
      </c>
      <c r="X487" t="str">
        <f t="shared" si="75"/>
        <v>Tugu/ Tanda Batas Administrasi Desa</v>
      </c>
      <c r="Y487" s="13" t="s">
        <v>600</v>
      </c>
      <c r="Z487" s="13">
        <v>9</v>
      </c>
    </row>
    <row r="488" spans="1:26" ht="26.25" customHeight="1" x14ac:dyDescent="0.25">
      <c r="A488" t="s">
        <v>1423</v>
      </c>
      <c r="B488" t="str">
        <f t="shared" si="71"/>
        <v>3.12.6.1.8</v>
      </c>
      <c r="C488" t="str">
        <f t="shared" si="67"/>
        <v>Berubah</v>
      </c>
      <c r="D488" t="str">
        <f t="shared" si="72"/>
        <v>1.3.3.04.01.01.008</v>
      </c>
      <c r="E488" s="12" t="s">
        <v>1094</v>
      </c>
      <c r="F488" s="4">
        <v>1</v>
      </c>
      <c r="G488" s="4">
        <v>3</v>
      </c>
      <c r="H488" s="4">
        <v>3</v>
      </c>
      <c r="I488" s="5" t="s">
        <v>54</v>
      </c>
      <c r="J488" s="5" t="s">
        <v>10</v>
      </c>
      <c r="K488" s="5" t="s">
        <v>10</v>
      </c>
      <c r="L488" s="5" t="s">
        <v>35</v>
      </c>
      <c r="M488" s="6" t="s">
        <v>390</v>
      </c>
      <c r="N488" s="6" t="str">
        <f t="shared" si="73"/>
        <v>Tugu/Tanda Batas Administrasi Kelurahan</v>
      </c>
      <c r="O488" t="b">
        <f t="shared" si="74"/>
        <v>0</v>
      </c>
      <c r="Q488" s="12" t="s">
        <v>1094</v>
      </c>
      <c r="R488" s="27">
        <v>3</v>
      </c>
      <c r="S488" s="28">
        <v>12</v>
      </c>
      <c r="T488" s="28">
        <v>6</v>
      </c>
      <c r="U488" s="28">
        <v>1</v>
      </c>
      <c r="V488" s="28">
        <v>8</v>
      </c>
      <c r="W488" s="11" t="s">
        <v>609</v>
      </c>
      <c r="X488" t="str">
        <f t="shared" si="75"/>
        <v>Tugu/ Tanda Batas Administrasi Kelerahan</v>
      </c>
      <c r="Y488" s="13" t="s">
        <v>600</v>
      </c>
      <c r="Z488" s="13">
        <v>10</v>
      </c>
    </row>
    <row r="489" spans="1:26" ht="26.25" customHeight="1" x14ac:dyDescent="0.25">
      <c r="A489" t="s">
        <v>1424</v>
      </c>
      <c r="B489" t="str">
        <f t="shared" si="71"/>
        <v>3.12.6.1.9</v>
      </c>
      <c r="C489" t="str">
        <f t="shared" si="67"/>
        <v>Berubah</v>
      </c>
      <c r="D489" t="str">
        <f t="shared" si="72"/>
        <v>1.3.3.04.01.01.009</v>
      </c>
      <c r="E489" s="12" t="s">
        <v>1095</v>
      </c>
      <c r="F489" s="4">
        <v>1</v>
      </c>
      <c r="G489" s="4">
        <v>3</v>
      </c>
      <c r="H489" s="4">
        <v>3</v>
      </c>
      <c r="I489" s="5" t="s">
        <v>54</v>
      </c>
      <c r="J489" s="5" t="s">
        <v>10</v>
      </c>
      <c r="K489" s="5" t="s">
        <v>10</v>
      </c>
      <c r="L489" s="5" t="s">
        <v>37</v>
      </c>
      <c r="M489" s="6" t="s">
        <v>391</v>
      </c>
      <c r="N489" s="6" t="str">
        <f t="shared" si="73"/>
        <v>Tugu/Tanda Batas Administrasi Kepemilikan</v>
      </c>
      <c r="O489" t="b">
        <f t="shared" si="74"/>
        <v>0</v>
      </c>
      <c r="Q489" s="12" t="s">
        <v>1095</v>
      </c>
      <c r="R489" s="27">
        <v>3</v>
      </c>
      <c r="S489" s="28">
        <v>12</v>
      </c>
      <c r="T489" s="28">
        <v>6</v>
      </c>
      <c r="U489" s="28">
        <v>1</v>
      </c>
      <c r="V489" s="28">
        <v>9</v>
      </c>
      <c r="W489" s="11" t="s">
        <v>610</v>
      </c>
      <c r="X489" t="str">
        <f t="shared" si="75"/>
        <v>Tugu/ Tanda Batas Administrasi Kepemilikan</v>
      </c>
      <c r="Y489" s="13" t="s">
        <v>600</v>
      </c>
      <c r="Z489" s="13">
        <v>11</v>
      </c>
    </row>
    <row r="490" spans="1:26" ht="26.25" customHeight="1" x14ac:dyDescent="0.25">
      <c r="A490" t="s">
        <v>1129</v>
      </c>
      <c r="B490" t="str">
        <f t="shared" si="71"/>
        <v>....</v>
      </c>
      <c r="C490" t="str">
        <f t="shared" si="67"/>
        <v>Bertambah</v>
      </c>
      <c r="D490" t="str">
        <f t="shared" si="72"/>
        <v>1.3.3.04.01.01.010</v>
      </c>
      <c r="E490" s="12" t="s">
        <v>1096</v>
      </c>
      <c r="F490" s="17">
        <v>1</v>
      </c>
      <c r="G490" s="17">
        <v>3</v>
      </c>
      <c r="H490" s="17">
        <v>3</v>
      </c>
      <c r="I490" s="18" t="s">
        <v>54</v>
      </c>
      <c r="J490" s="18" t="s">
        <v>10</v>
      </c>
      <c r="K490" s="18" t="s">
        <v>10</v>
      </c>
      <c r="L490" s="18" t="s">
        <v>39</v>
      </c>
      <c r="M490" s="19" t="s">
        <v>392</v>
      </c>
      <c r="N490" s="19" t="str">
        <f t="shared" si="73"/>
        <v>Tugu/Tanda Batas Damija (Daerah Milik Jalan)</v>
      </c>
      <c r="O490" t="b">
        <f t="shared" si="74"/>
        <v>0</v>
      </c>
      <c r="Q490" s="12" t="s">
        <v>1096</v>
      </c>
      <c r="R490" s="29"/>
      <c r="S490" s="29"/>
      <c r="T490" s="29"/>
      <c r="U490" s="29"/>
      <c r="V490" s="29"/>
      <c r="W490" s="10"/>
      <c r="X490" t="str">
        <f t="shared" si="75"/>
        <v/>
      </c>
      <c r="Y490" s="10"/>
      <c r="Z490" s="10"/>
    </row>
    <row r="491" spans="1:26" ht="26.25" customHeight="1" x14ac:dyDescent="0.25">
      <c r="A491" t="s">
        <v>1129</v>
      </c>
      <c r="B491" t="str">
        <f t="shared" si="71"/>
        <v>....</v>
      </c>
      <c r="C491" t="str">
        <f t="shared" si="67"/>
        <v>Bertambah</v>
      </c>
      <c r="D491" t="str">
        <f t="shared" si="72"/>
        <v>1.3.3.04.01.01.011</v>
      </c>
      <c r="E491" s="12" t="s">
        <v>1097</v>
      </c>
      <c r="F491" s="17">
        <v>1</v>
      </c>
      <c r="G491" s="17">
        <v>3</v>
      </c>
      <c r="H491" s="17">
        <v>3</v>
      </c>
      <c r="I491" s="18" t="s">
        <v>54</v>
      </c>
      <c r="J491" s="18" t="s">
        <v>10</v>
      </c>
      <c r="K491" s="18" t="s">
        <v>10</v>
      </c>
      <c r="L491" s="18" t="s">
        <v>41</v>
      </c>
      <c r="M491" s="19" t="s">
        <v>393</v>
      </c>
      <c r="N491" s="19" t="str">
        <f t="shared" si="73"/>
        <v>Tugu/Tanda Batas Damaja (Daerah Manfaat Jalan)</v>
      </c>
      <c r="O491" t="b">
        <f t="shared" si="74"/>
        <v>0</v>
      </c>
      <c r="Q491" s="12" t="s">
        <v>1097</v>
      </c>
      <c r="R491" s="29"/>
      <c r="S491" s="29"/>
      <c r="T491" s="29"/>
      <c r="U491" s="29"/>
      <c r="V491" s="29"/>
      <c r="W491" s="10"/>
      <c r="X491" t="str">
        <f t="shared" si="75"/>
        <v/>
      </c>
      <c r="Y491" s="10"/>
      <c r="Z491" s="10"/>
    </row>
    <row r="492" spans="1:26" ht="26.25" customHeight="1" x14ac:dyDescent="0.25">
      <c r="A492" t="s">
        <v>1425</v>
      </c>
      <c r="B492" t="str">
        <f t="shared" si="71"/>
        <v>3.12.6.1.10</v>
      </c>
      <c r="C492" t="str">
        <f t="shared" si="67"/>
        <v>Berubah</v>
      </c>
      <c r="D492" t="str">
        <f t="shared" si="72"/>
        <v>1.3.3.04.01.01.012</v>
      </c>
      <c r="E492" s="12" t="s">
        <v>1098</v>
      </c>
      <c r="F492" s="4">
        <v>1</v>
      </c>
      <c r="G492" s="4">
        <v>3</v>
      </c>
      <c r="H492" s="4">
        <v>3</v>
      </c>
      <c r="I492" s="5" t="s">
        <v>54</v>
      </c>
      <c r="J492" s="5" t="s">
        <v>10</v>
      </c>
      <c r="K492" s="5" t="s">
        <v>10</v>
      </c>
      <c r="L492" s="5" t="s">
        <v>43</v>
      </c>
      <c r="M492" s="6" t="s">
        <v>23</v>
      </c>
      <c r="N492" s="6" t="str">
        <f t="shared" si="73"/>
        <v>Dst….</v>
      </c>
      <c r="O492" t="b">
        <f t="shared" si="74"/>
        <v>0</v>
      </c>
      <c r="Q492" s="12" t="s">
        <v>1098</v>
      </c>
      <c r="R492" s="27">
        <v>3</v>
      </c>
      <c r="S492" s="28">
        <v>12</v>
      </c>
      <c r="T492" s="28">
        <v>6</v>
      </c>
      <c r="U492" s="28">
        <v>1</v>
      </c>
      <c r="V492" s="28">
        <v>10</v>
      </c>
      <c r="W492" s="11" t="s">
        <v>415</v>
      </c>
      <c r="X492" t="str">
        <f t="shared" si="75"/>
        <v>Lain-lain</v>
      </c>
      <c r="Y492" s="13" t="s">
        <v>600</v>
      </c>
      <c r="Z492" s="13">
        <v>12</v>
      </c>
    </row>
    <row r="493" spans="1:26" ht="26.25" customHeight="1" x14ac:dyDescent="0.25">
      <c r="A493" t="s">
        <v>1129</v>
      </c>
      <c r="B493" t="str">
        <f t="shared" si="71"/>
        <v>....</v>
      </c>
      <c r="C493" t="str">
        <f t="shared" si="67"/>
        <v>Bertambah</v>
      </c>
      <c r="D493" t="str">
        <f t="shared" si="72"/>
        <v>1.3.3.04.01.02.</v>
      </c>
      <c r="E493" s="12" t="s">
        <v>1099</v>
      </c>
      <c r="F493" s="17">
        <v>1</v>
      </c>
      <c r="G493" s="17">
        <v>3</v>
      </c>
      <c r="H493" s="17">
        <v>3</v>
      </c>
      <c r="I493" s="18" t="s">
        <v>54</v>
      </c>
      <c r="J493" s="18" t="s">
        <v>10</v>
      </c>
      <c r="K493" s="18" t="s">
        <v>24</v>
      </c>
      <c r="L493" s="18"/>
      <c r="M493" s="19" t="s">
        <v>394</v>
      </c>
      <c r="N493" s="19" t="str">
        <f t="shared" si="73"/>
        <v>TUGU/TANDA JARING KONTROL GEODESI</v>
      </c>
      <c r="O493" t="b">
        <f t="shared" si="74"/>
        <v>0</v>
      </c>
      <c r="Q493" s="12" t="s">
        <v>1099</v>
      </c>
      <c r="R493" s="31"/>
      <c r="S493" s="31"/>
      <c r="T493" s="31"/>
      <c r="U493" s="31"/>
      <c r="V493" s="31"/>
      <c r="W493" s="8"/>
      <c r="X493" t="str">
        <f t="shared" si="75"/>
        <v/>
      </c>
      <c r="Y493" s="8"/>
      <c r="Z493" s="8"/>
    </row>
    <row r="494" spans="1:26" ht="26.25" customHeight="1" x14ac:dyDescent="0.25">
      <c r="A494" t="s">
        <v>1129</v>
      </c>
      <c r="B494" t="str">
        <f t="shared" si="71"/>
        <v>....</v>
      </c>
      <c r="C494" t="str">
        <f t="shared" si="67"/>
        <v>Bertambah</v>
      </c>
      <c r="D494" t="str">
        <f t="shared" si="72"/>
        <v>1.3.3.04.01.02.001</v>
      </c>
      <c r="E494" s="12" t="s">
        <v>1100</v>
      </c>
      <c r="F494" s="17">
        <v>1</v>
      </c>
      <c r="G494" s="17">
        <v>3</v>
      </c>
      <c r="H494" s="17">
        <v>3</v>
      </c>
      <c r="I494" s="18" t="s">
        <v>54</v>
      </c>
      <c r="J494" s="18" t="s">
        <v>10</v>
      </c>
      <c r="K494" s="18" t="s">
        <v>24</v>
      </c>
      <c r="L494" s="18" t="s">
        <v>14</v>
      </c>
      <c r="M494" s="19" t="s">
        <v>395</v>
      </c>
      <c r="N494" s="19" t="str">
        <f t="shared" si="73"/>
        <v>Jaring Kontrol Horisontal</v>
      </c>
      <c r="O494" t="b">
        <f t="shared" si="74"/>
        <v>0</v>
      </c>
      <c r="Q494" s="12" t="s">
        <v>1100</v>
      </c>
      <c r="R494" s="31"/>
      <c r="S494" s="31"/>
      <c r="T494" s="31"/>
      <c r="U494" s="31"/>
      <c r="V494" s="31"/>
      <c r="W494" s="8"/>
      <c r="X494" t="str">
        <f t="shared" si="75"/>
        <v/>
      </c>
      <c r="Y494" s="8"/>
      <c r="Z494" s="8"/>
    </row>
    <row r="495" spans="1:26" ht="26.25" customHeight="1" x14ac:dyDescent="0.25">
      <c r="A495" t="s">
        <v>1129</v>
      </c>
      <c r="B495" t="str">
        <f t="shared" si="71"/>
        <v>....</v>
      </c>
      <c r="C495" t="str">
        <f t="shared" si="67"/>
        <v>Bertambah</v>
      </c>
      <c r="D495" t="str">
        <f t="shared" si="72"/>
        <v>1.3.3.04.01.02.002</v>
      </c>
      <c r="E495" s="12" t="s">
        <v>1101</v>
      </c>
      <c r="F495" s="17">
        <v>1</v>
      </c>
      <c r="G495" s="17">
        <v>3</v>
      </c>
      <c r="H495" s="17">
        <v>3</v>
      </c>
      <c r="I495" s="18" t="s">
        <v>54</v>
      </c>
      <c r="J495" s="18" t="s">
        <v>10</v>
      </c>
      <c r="K495" s="18" t="s">
        <v>24</v>
      </c>
      <c r="L495" s="18" t="s">
        <v>16</v>
      </c>
      <c r="M495" s="19" t="s">
        <v>396</v>
      </c>
      <c r="N495" s="19" t="str">
        <f t="shared" si="73"/>
        <v>Jaring Kontrol Vertikal</v>
      </c>
      <c r="O495" t="b">
        <f t="shared" si="74"/>
        <v>0</v>
      </c>
      <c r="Q495" s="12" t="s">
        <v>1101</v>
      </c>
      <c r="R495" s="31"/>
      <c r="S495" s="31"/>
      <c r="T495" s="31"/>
      <c r="U495" s="31"/>
      <c r="V495" s="31"/>
      <c r="W495" s="8"/>
      <c r="X495" t="str">
        <f t="shared" si="75"/>
        <v/>
      </c>
      <c r="Y495" s="8"/>
      <c r="Z495" s="8"/>
    </row>
    <row r="496" spans="1:26" ht="26.25" customHeight="1" x14ac:dyDescent="0.25">
      <c r="A496" t="s">
        <v>1129</v>
      </c>
      <c r="B496" t="str">
        <f t="shared" si="71"/>
        <v>....</v>
      </c>
      <c r="C496" t="str">
        <f t="shared" si="67"/>
        <v>Bertambah</v>
      </c>
      <c r="D496" t="str">
        <f t="shared" si="72"/>
        <v>1.3.3.04.01.02.003</v>
      </c>
      <c r="E496" s="12" t="s">
        <v>1102</v>
      </c>
      <c r="F496" s="17">
        <v>1</v>
      </c>
      <c r="G496" s="17">
        <v>3</v>
      </c>
      <c r="H496" s="17">
        <v>3</v>
      </c>
      <c r="I496" s="18" t="s">
        <v>54</v>
      </c>
      <c r="J496" s="18" t="s">
        <v>10</v>
      </c>
      <c r="K496" s="18" t="s">
        <v>24</v>
      </c>
      <c r="L496" s="18" t="s">
        <v>18</v>
      </c>
      <c r="M496" s="19" t="s">
        <v>397</v>
      </c>
      <c r="N496" s="19" t="str">
        <f t="shared" si="73"/>
        <v>Jaring Kontrol Gaya Berat</v>
      </c>
      <c r="O496" t="b">
        <f t="shared" si="74"/>
        <v>0</v>
      </c>
      <c r="Q496" s="12" t="s">
        <v>1102</v>
      </c>
      <c r="R496" s="31"/>
      <c r="S496" s="31"/>
      <c r="T496" s="31"/>
      <c r="U496" s="31"/>
      <c r="V496" s="31"/>
      <c r="W496" s="8"/>
      <c r="X496" t="str">
        <f t="shared" si="75"/>
        <v/>
      </c>
      <c r="Y496" s="8"/>
      <c r="Z496" s="8"/>
    </row>
    <row r="497" spans="1:26" ht="26.25" customHeight="1" x14ac:dyDescent="0.25">
      <c r="A497" t="s">
        <v>1129</v>
      </c>
      <c r="B497" t="str">
        <f t="shared" si="71"/>
        <v>....</v>
      </c>
      <c r="C497" t="str">
        <f t="shared" si="67"/>
        <v>Bertambah</v>
      </c>
      <c r="D497" t="str">
        <f t="shared" si="72"/>
        <v>1.3.3.04.01.02.004</v>
      </c>
      <c r="E497" s="12" t="s">
        <v>1103</v>
      </c>
      <c r="F497" s="17">
        <v>1</v>
      </c>
      <c r="G497" s="17">
        <v>3</v>
      </c>
      <c r="H497" s="17">
        <v>3</v>
      </c>
      <c r="I497" s="18" t="s">
        <v>54</v>
      </c>
      <c r="J497" s="18" t="s">
        <v>10</v>
      </c>
      <c r="K497" s="18" t="s">
        <v>24</v>
      </c>
      <c r="L497" s="18" t="s">
        <v>20</v>
      </c>
      <c r="M497" s="19" t="s">
        <v>398</v>
      </c>
      <c r="N497" s="19" t="str">
        <f t="shared" si="73"/>
        <v>Jaring Kontrol Pasang Surut Paras Muka Laut</v>
      </c>
      <c r="O497" t="b">
        <f t="shared" si="74"/>
        <v>0</v>
      </c>
      <c r="Q497" s="12" t="s">
        <v>1103</v>
      </c>
      <c r="R497" s="31"/>
      <c r="S497" s="31"/>
      <c r="T497" s="31"/>
      <c r="U497" s="31"/>
      <c r="V497" s="31"/>
      <c r="W497" s="8"/>
      <c r="X497" t="str">
        <f t="shared" si="75"/>
        <v/>
      </c>
      <c r="Y497" s="8"/>
      <c r="Z497" s="8"/>
    </row>
    <row r="498" spans="1:26" ht="26.25" customHeight="1" x14ac:dyDescent="0.25">
      <c r="A498" t="s">
        <v>1129</v>
      </c>
      <c r="B498" t="str">
        <f t="shared" si="71"/>
        <v>....</v>
      </c>
      <c r="C498" t="str">
        <f t="shared" si="67"/>
        <v>Bertambah</v>
      </c>
      <c r="D498" t="str">
        <f t="shared" si="72"/>
        <v>1.3.3.04.01.02.005</v>
      </c>
      <c r="E498" s="12" t="s">
        <v>1104</v>
      </c>
      <c r="F498" s="17">
        <v>1</v>
      </c>
      <c r="G498" s="17">
        <v>3</v>
      </c>
      <c r="H498" s="17">
        <v>3</v>
      </c>
      <c r="I498" s="18" t="s">
        <v>54</v>
      </c>
      <c r="J498" s="18" t="s">
        <v>10</v>
      </c>
      <c r="K498" s="18" t="s">
        <v>24</v>
      </c>
      <c r="L498" s="18" t="s">
        <v>22</v>
      </c>
      <c r="M498" s="19" t="s">
        <v>399</v>
      </c>
      <c r="N498" s="19" t="str">
        <f t="shared" si="73"/>
        <v>Jaring Kontrol Pasang Surut Sungai Dan Danau</v>
      </c>
      <c r="O498" t="b">
        <f t="shared" si="74"/>
        <v>0</v>
      </c>
      <c r="Q498" s="12" t="s">
        <v>1104</v>
      </c>
      <c r="R498" s="31"/>
      <c r="S498" s="31"/>
      <c r="T498" s="31"/>
      <c r="U498" s="31"/>
      <c r="V498" s="31"/>
      <c r="W498" s="8"/>
      <c r="X498" t="str">
        <f t="shared" si="75"/>
        <v/>
      </c>
      <c r="Y498" s="8"/>
      <c r="Z498" s="8"/>
    </row>
    <row r="499" spans="1:26" ht="26.25" customHeight="1" x14ac:dyDescent="0.25">
      <c r="A499" t="s">
        <v>1129</v>
      </c>
      <c r="B499" t="str">
        <f t="shared" si="71"/>
        <v>....</v>
      </c>
      <c r="C499" t="str">
        <f t="shared" si="67"/>
        <v>Bertambah</v>
      </c>
      <c r="D499" t="str">
        <f t="shared" si="72"/>
        <v>1.3.3.04.01.02.006</v>
      </c>
      <c r="E499" s="12" t="s">
        <v>1105</v>
      </c>
      <c r="F499" s="17">
        <v>1</v>
      </c>
      <c r="G499" s="17">
        <v>3</v>
      </c>
      <c r="H499" s="17">
        <v>3</v>
      </c>
      <c r="I499" s="18" t="s">
        <v>54</v>
      </c>
      <c r="J499" s="18" t="s">
        <v>10</v>
      </c>
      <c r="K499" s="18" t="s">
        <v>24</v>
      </c>
      <c r="L499" s="18" t="s">
        <v>31</v>
      </c>
      <c r="M499" s="19" t="s">
        <v>400</v>
      </c>
      <c r="N499" s="19" t="str">
        <f t="shared" si="73"/>
        <v>Jaring Kontrol Pasang Surut Bumi</v>
      </c>
      <c r="O499" t="b">
        <f t="shared" si="74"/>
        <v>0</v>
      </c>
      <c r="Q499" s="12" t="s">
        <v>1105</v>
      </c>
      <c r="R499" s="31"/>
      <c r="S499" s="31"/>
      <c r="T499" s="31"/>
      <c r="U499" s="31"/>
      <c r="V499" s="31"/>
      <c r="W499" s="8"/>
      <c r="X499" t="str">
        <f t="shared" si="75"/>
        <v/>
      </c>
      <c r="Y499" s="8"/>
      <c r="Z499" s="8"/>
    </row>
    <row r="500" spans="1:26" ht="26.25" customHeight="1" x14ac:dyDescent="0.25">
      <c r="A500" t="s">
        <v>1129</v>
      </c>
      <c r="B500" t="str">
        <f t="shared" si="71"/>
        <v>....</v>
      </c>
      <c r="C500" t="str">
        <f t="shared" si="67"/>
        <v>Bertambah</v>
      </c>
      <c r="D500" t="str">
        <f t="shared" si="72"/>
        <v>1.3.3.04.01.02.007</v>
      </c>
      <c r="E500" s="12" t="s">
        <v>1106</v>
      </c>
      <c r="F500" s="17">
        <v>1</v>
      </c>
      <c r="G500" s="17">
        <v>3</v>
      </c>
      <c r="H500" s="17">
        <v>3</v>
      </c>
      <c r="I500" s="18" t="s">
        <v>54</v>
      </c>
      <c r="J500" s="18" t="s">
        <v>10</v>
      </c>
      <c r="K500" s="18" t="s">
        <v>24</v>
      </c>
      <c r="L500" s="18" t="s">
        <v>33</v>
      </c>
      <c r="M500" s="19" t="s">
        <v>401</v>
      </c>
      <c r="N500" s="19" t="str">
        <f t="shared" si="73"/>
        <v>Jaring Kontrol Navigasi</v>
      </c>
      <c r="O500" t="b">
        <f t="shared" si="74"/>
        <v>0</v>
      </c>
      <c r="Q500" s="12" t="s">
        <v>1106</v>
      </c>
      <c r="R500" s="31"/>
      <c r="S500" s="31"/>
      <c r="T500" s="31"/>
      <c r="U500" s="31"/>
      <c r="V500" s="31"/>
      <c r="W500" s="8"/>
      <c r="X500" t="str">
        <f t="shared" si="75"/>
        <v/>
      </c>
      <c r="Y500" s="8"/>
      <c r="Z500" s="8"/>
    </row>
    <row r="501" spans="1:26" ht="26.25" customHeight="1" x14ac:dyDescent="0.25">
      <c r="A501" t="s">
        <v>1129</v>
      </c>
      <c r="B501" t="str">
        <f t="shared" si="71"/>
        <v>....</v>
      </c>
      <c r="C501" t="str">
        <f t="shared" si="67"/>
        <v>Bertambah</v>
      </c>
      <c r="D501" t="str">
        <f t="shared" si="72"/>
        <v>1.3.3.04.01.02.008</v>
      </c>
      <c r="E501" s="12" t="s">
        <v>1107</v>
      </c>
      <c r="F501" s="17">
        <v>1</v>
      </c>
      <c r="G501" s="17">
        <v>3</v>
      </c>
      <c r="H501" s="17">
        <v>3</v>
      </c>
      <c r="I501" s="18" t="s">
        <v>54</v>
      </c>
      <c r="J501" s="18" t="s">
        <v>10</v>
      </c>
      <c r="K501" s="18" t="s">
        <v>24</v>
      </c>
      <c r="L501" s="18" t="s">
        <v>35</v>
      </c>
      <c r="M501" s="19" t="s">
        <v>23</v>
      </c>
      <c r="N501" s="19" t="str">
        <f t="shared" si="73"/>
        <v>Dst….</v>
      </c>
      <c r="O501" t="b">
        <f t="shared" si="74"/>
        <v>0</v>
      </c>
      <c r="Q501" s="12" t="s">
        <v>1107</v>
      </c>
      <c r="R501" s="31"/>
      <c r="S501" s="31"/>
      <c r="T501" s="31"/>
      <c r="U501" s="31"/>
      <c r="V501" s="31"/>
      <c r="W501" s="8"/>
      <c r="X501" t="str">
        <f t="shared" si="75"/>
        <v/>
      </c>
      <c r="Y501" s="8"/>
      <c r="Z501" s="8"/>
    </row>
    <row r="502" spans="1:26" ht="26.25" customHeight="1" x14ac:dyDescent="0.25">
      <c r="A502" t="s">
        <v>1129</v>
      </c>
      <c r="B502" t="str">
        <f t="shared" si="71"/>
        <v>....</v>
      </c>
      <c r="C502" t="str">
        <f t="shared" si="67"/>
        <v>Bertambah</v>
      </c>
      <c r="D502" t="str">
        <f t="shared" si="72"/>
        <v>1.3.3.04.01.03.</v>
      </c>
      <c r="E502" s="12" t="s">
        <v>1108</v>
      </c>
      <c r="F502" s="17">
        <v>1</v>
      </c>
      <c r="G502" s="17">
        <v>3</v>
      </c>
      <c r="H502" s="17">
        <v>3</v>
      </c>
      <c r="I502" s="18" t="s">
        <v>54</v>
      </c>
      <c r="J502" s="18" t="s">
        <v>10</v>
      </c>
      <c r="K502" s="18" t="s">
        <v>48</v>
      </c>
      <c r="L502" s="18"/>
      <c r="M502" s="19" t="s">
        <v>402</v>
      </c>
      <c r="N502" s="19" t="str">
        <f t="shared" si="73"/>
        <v>PILAR/TUGU/TANDA LAINNYA</v>
      </c>
      <c r="O502" t="b">
        <f t="shared" si="74"/>
        <v>0</v>
      </c>
      <c r="Q502" s="12" t="s">
        <v>1108</v>
      </c>
      <c r="R502" s="31"/>
      <c r="S502" s="31"/>
      <c r="T502" s="31"/>
      <c r="U502" s="31"/>
      <c r="V502" s="31"/>
      <c r="W502" s="8"/>
      <c r="X502" t="str">
        <f t="shared" si="75"/>
        <v/>
      </c>
      <c r="Y502" s="8"/>
      <c r="Z502" s="8"/>
    </row>
    <row r="503" spans="1:26" ht="26.25" customHeight="1" x14ac:dyDescent="0.25">
      <c r="A503" t="s">
        <v>1129</v>
      </c>
      <c r="B503" t="str">
        <f t="shared" si="71"/>
        <v>....</v>
      </c>
      <c r="C503" t="str">
        <f t="shared" si="67"/>
        <v>Bertambah</v>
      </c>
      <c r="D503" t="str">
        <f t="shared" si="72"/>
        <v>1.3.3.04.01.03.001</v>
      </c>
      <c r="E503" s="12" t="s">
        <v>1109</v>
      </c>
      <c r="F503" s="17">
        <v>1</v>
      </c>
      <c r="G503" s="17">
        <v>3</v>
      </c>
      <c r="H503" s="17">
        <v>3</v>
      </c>
      <c r="I503" s="18" t="s">
        <v>54</v>
      </c>
      <c r="J503" s="18" t="s">
        <v>10</v>
      </c>
      <c r="K503" s="18" t="s">
        <v>48</v>
      </c>
      <c r="L503" s="18" t="s">
        <v>14</v>
      </c>
      <c r="M503" s="19" t="s">
        <v>403</v>
      </c>
      <c r="N503" s="19" t="str">
        <f t="shared" si="73"/>
        <v>Kerangka Dasar Kadastral Orde 2</v>
      </c>
      <c r="O503" t="b">
        <f t="shared" si="74"/>
        <v>0</v>
      </c>
      <c r="Q503" s="12" t="s">
        <v>1109</v>
      </c>
      <c r="R503" s="31"/>
      <c r="S503" s="31"/>
      <c r="T503" s="31"/>
      <c r="U503" s="31"/>
      <c r="V503" s="31"/>
      <c r="W503" s="8"/>
      <c r="X503" t="str">
        <f t="shared" si="75"/>
        <v/>
      </c>
      <c r="Y503" s="8"/>
      <c r="Z503" s="8"/>
    </row>
    <row r="504" spans="1:26" ht="26.25" customHeight="1" x14ac:dyDescent="0.25">
      <c r="A504" t="s">
        <v>1129</v>
      </c>
      <c r="B504" t="str">
        <f t="shared" si="71"/>
        <v>....</v>
      </c>
      <c r="C504" t="str">
        <f t="shared" si="67"/>
        <v>Bertambah</v>
      </c>
      <c r="D504" t="str">
        <f t="shared" si="72"/>
        <v>1.3.3.04.01.03.002</v>
      </c>
      <c r="E504" s="12" t="s">
        <v>1110</v>
      </c>
      <c r="F504" s="17">
        <v>1</v>
      </c>
      <c r="G504" s="17">
        <v>3</v>
      </c>
      <c r="H504" s="17">
        <v>3</v>
      </c>
      <c r="I504" s="18" t="s">
        <v>54</v>
      </c>
      <c r="J504" s="18" t="s">
        <v>10</v>
      </c>
      <c r="K504" s="18" t="s">
        <v>48</v>
      </c>
      <c r="L504" s="18" t="s">
        <v>16</v>
      </c>
      <c r="M504" s="19" t="s">
        <v>404</v>
      </c>
      <c r="N504" s="19" t="str">
        <f t="shared" si="73"/>
        <v>Kerangka Dasar Kadastral Orde 3</v>
      </c>
      <c r="O504" t="b">
        <f t="shared" si="74"/>
        <v>0</v>
      </c>
      <c r="Q504" s="12" t="s">
        <v>1110</v>
      </c>
      <c r="R504" s="31"/>
      <c r="S504" s="31"/>
      <c r="T504" s="31"/>
      <c r="U504" s="31"/>
      <c r="V504" s="31"/>
      <c r="W504" s="8"/>
      <c r="X504" t="str">
        <f t="shared" si="75"/>
        <v/>
      </c>
      <c r="Y504" s="8"/>
      <c r="Z504" s="8"/>
    </row>
    <row r="505" spans="1:26" ht="26.25" customHeight="1" x14ac:dyDescent="0.25">
      <c r="A505" t="s">
        <v>1129</v>
      </c>
      <c r="B505" t="str">
        <f t="shared" si="71"/>
        <v>....</v>
      </c>
      <c r="C505" t="str">
        <f t="shared" si="67"/>
        <v>Bertambah</v>
      </c>
      <c r="D505" t="str">
        <f t="shared" si="72"/>
        <v>1.3.3.04.01.03.003</v>
      </c>
      <c r="E505" s="12" t="s">
        <v>1111</v>
      </c>
      <c r="F505" s="17">
        <v>1</v>
      </c>
      <c r="G505" s="17">
        <v>3</v>
      </c>
      <c r="H505" s="17">
        <v>3</v>
      </c>
      <c r="I505" s="18" t="s">
        <v>54</v>
      </c>
      <c r="J505" s="18" t="s">
        <v>10</v>
      </c>
      <c r="K505" s="18" t="s">
        <v>48</v>
      </c>
      <c r="L505" s="18" t="s">
        <v>18</v>
      </c>
      <c r="M505" s="19" t="s">
        <v>405</v>
      </c>
      <c r="N505" s="19" t="str">
        <f t="shared" si="73"/>
        <v>Kerangka Dasar Kadastral Orde 4</v>
      </c>
      <c r="O505" t="b">
        <f t="shared" si="74"/>
        <v>0</v>
      </c>
      <c r="Q505" s="12" t="s">
        <v>1111</v>
      </c>
      <c r="R505" s="31"/>
      <c r="S505" s="31"/>
      <c r="T505" s="31"/>
      <c r="U505" s="31"/>
      <c r="V505" s="31"/>
      <c r="W505" s="8"/>
      <c r="X505" t="str">
        <f t="shared" si="75"/>
        <v/>
      </c>
      <c r="Y505" s="8"/>
      <c r="Z505" s="8"/>
    </row>
    <row r="506" spans="1:26" ht="26.25" customHeight="1" x14ac:dyDescent="0.25">
      <c r="A506" t="s">
        <v>1129</v>
      </c>
      <c r="B506" t="str">
        <f t="shared" si="71"/>
        <v>....</v>
      </c>
      <c r="C506" t="str">
        <f t="shared" ref="C506:C513" si="76">IF(R506&lt;&gt;"",IF(F506="","Keluar","Berubah"),"Bertambah")</f>
        <v>Bertambah</v>
      </c>
      <c r="D506" t="str">
        <f t="shared" si="72"/>
        <v>1.3.3.04.01.03.004</v>
      </c>
      <c r="E506" s="12" t="s">
        <v>1112</v>
      </c>
      <c r="F506" s="17">
        <v>1</v>
      </c>
      <c r="G506" s="17">
        <v>3</v>
      </c>
      <c r="H506" s="17">
        <v>3</v>
      </c>
      <c r="I506" s="18" t="s">
        <v>54</v>
      </c>
      <c r="J506" s="18" t="s">
        <v>10</v>
      </c>
      <c r="K506" s="18" t="s">
        <v>48</v>
      </c>
      <c r="L506" s="18" t="s">
        <v>20</v>
      </c>
      <c r="M506" s="19" t="s">
        <v>23</v>
      </c>
      <c r="N506" s="19" t="str">
        <f t="shared" si="73"/>
        <v>Dst….</v>
      </c>
      <c r="O506" t="b">
        <f t="shared" si="74"/>
        <v>0</v>
      </c>
      <c r="Q506" s="12" t="s">
        <v>1112</v>
      </c>
      <c r="R506" s="31"/>
      <c r="S506" s="31"/>
      <c r="T506" s="31"/>
      <c r="U506" s="31"/>
      <c r="V506" s="31"/>
      <c r="W506" s="8"/>
      <c r="X506" t="str">
        <f t="shared" si="75"/>
        <v/>
      </c>
      <c r="Y506" s="8"/>
      <c r="Z506" s="8"/>
    </row>
    <row r="507" spans="1:26" ht="26.25" customHeight="1" x14ac:dyDescent="0.25">
      <c r="A507" t="s">
        <v>1129</v>
      </c>
      <c r="B507" t="str">
        <f t="shared" si="71"/>
        <v>....</v>
      </c>
      <c r="C507" t="str">
        <f t="shared" si="76"/>
        <v>Bertambah</v>
      </c>
      <c r="D507" t="str">
        <f t="shared" si="72"/>
        <v>1.3.3.04.01.04.</v>
      </c>
      <c r="E507" s="12" t="s">
        <v>1113</v>
      </c>
      <c r="F507" s="17">
        <v>1</v>
      </c>
      <c r="G507" s="17">
        <v>3</v>
      </c>
      <c r="H507" s="17">
        <v>3</v>
      </c>
      <c r="I507" s="18" t="s">
        <v>54</v>
      </c>
      <c r="J507" s="18" t="s">
        <v>10</v>
      </c>
      <c r="K507" s="18" t="s">
        <v>54</v>
      </c>
      <c r="L507" s="18"/>
      <c r="M507" s="19" t="s">
        <v>406</v>
      </c>
      <c r="N507" s="19" t="str">
        <f t="shared" si="73"/>
        <v>PAGAR</v>
      </c>
      <c r="O507" t="b">
        <f t="shared" si="74"/>
        <v>0</v>
      </c>
      <c r="Q507" s="12" t="s">
        <v>1113</v>
      </c>
      <c r="R507" s="31"/>
      <c r="S507" s="31"/>
      <c r="T507" s="31"/>
      <c r="U507" s="31"/>
      <c r="V507" s="31"/>
      <c r="W507" s="8"/>
      <c r="X507" t="str">
        <f t="shared" si="75"/>
        <v/>
      </c>
      <c r="Y507" s="8"/>
      <c r="Z507" s="8"/>
    </row>
    <row r="508" spans="1:26" ht="26.25" customHeight="1" x14ac:dyDescent="0.25">
      <c r="A508" t="s">
        <v>1129</v>
      </c>
      <c r="B508" t="str">
        <f t="shared" si="71"/>
        <v>....</v>
      </c>
      <c r="C508" t="str">
        <f t="shared" si="76"/>
        <v>Bertambah</v>
      </c>
      <c r="D508" t="str">
        <f t="shared" si="72"/>
        <v>1.3.3.04.01.04.001</v>
      </c>
      <c r="E508" s="12" t="s">
        <v>1114</v>
      </c>
      <c r="F508" s="17">
        <v>1</v>
      </c>
      <c r="G508" s="17">
        <v>3</v>
      </c>
      <c r="H508" s="17">
        <v>3</v>
      </c>
      <c r="I508" s="18" t="s">
        <v>54</v>
      </c>
      <c r="J508" s="18" t="s">
        <v>10</v>
      </c>
      <c r="K508" s="18" t="s">
        <v>54</v>
      </c>
      <c r="L508" s="18" t="s">
        <v>14</v>
      </c>
      <c r="M508" s="19" t="s">
        <v>407</v>
      </c>
      <c r="N508" s="16"/>
      <c r="O508" t="e">
        <f>M508=#REF!</f>
        <v>#REF!</v>
      </c>
      <c r="Q508" s="12" t="s">
        <v>1114</v>
      </c>
      <c r="R508" s="31"/>
      <c r="S508" s="31"/>
      <c r="T508" s="31"/>
      <c r="U508" s="31"/>
      <c r="V508" s="31"/>
      <c r="W508" s="8"/>
      <c r="X508" s="8"/>
      <c r="Y508" s="8"/>
      <c r="Z508" s="8"/>
    </row>
    <row r="509" spans="1:26" ht="26.25" customHeight="1" x14ac:dyDescent="0.25">
      <c r="A509" t="s">
        <v>1129</v>
      </c>
      <c r="B509" t="str">
        <f t="shared" si="71"/>
        <v>....</v>
      </c>
      <c r="C509" t="str">
        <f t="shared" si="76"/>
        <v>Bertambah</v>
      </c>
      <c r="D509" t="str">
        <f t="shared" si="72"/>
        <v>1.3.3.04.01.04.002</v>
      </c>
      <c r="E509" s="12" t="s">
        <v>1115</v>
      </c>
      <c r="F509" s="17">
        <v>1</v>
      </c>
      <c r="G509" s="17">
        <v>3</v>
      </c>
      <c r="H509" s="17">
        <v>3</v>
      </c>
      <c r="I509" s="18" t="s">
        <v>54</v>
      </c>
      <c r="J509" s="18" t="s">
        <v>10</v>
      </c>
      <c r="K509" s="18" t="s">
        <v>54</v>
      </c>
      <c r="L509" s="18" t="s">
        <v>16</v>
      </c>
      <c r="M509" s="19" t="s">
        <v>408</v>
      </c>
      <c r="N509" s="19" t="str">
        <f t="shared" ref="N509:N513" si="77">TRIM(M509)</f>
        <v>Pagar Semi Permanen</v>
      </c>
      <c r="O509" t="b">
        <f>M509=W509</f>
        <v>0</v>
      </c>
      <c r="Q509" s="12" t="s">
        <v>1115</v>
      </c>
      <c r="R509" s="31"/>
      <c r="S509" s="31"/>
      <c r="T509" s="31"/>
      <c r="U509" s="31"/>
      <c r="V509" s="31"/>
      <c r="W509" s="8"/>
      <c r="X509" t="str">
        <f t="shared" ref="X509:X513" si="78">TRIM(W509)</f>
        <v/>
      </c>
      <c r="Y509" s="8"/>
      <c r="Z509" s="8"/>
    </row>
    <row r="510" spans="1:26" ht="26.25" customHeight="1" x14ac:dyDescent="0.25">
      <c r="A510" t="s">
        <v>1129</v>
      </c>
      <c r="B510" t="str">
        <f t="shared" si="71"/>
        <v>....</v>
      </c>
      <c r="C510" t="str">
        <f t="shared" si="76"/>
        <v>Bertambah</v>
      </c>
      <c r="D510" t="str">
        <f t="shared" si="72"/>
        <v>1.3.3.04.01.04.003</v>
      </c>
      <c r="E510" s="12" t="s">
        <v>1116</v>
      </c>
      <c r="F510" s="17">
        <v>1</v>
      </c>
      <c r="G510" s="17">
        <v>3</v>
      </c>
      <c r="H510" s="17">
        <v>3</v>
      </c>
      <c r="I510" s="18" t="s">
        <v>54</v>
      </c>
      <c r="J510" s="18" t="s">
        <v>10</v>
      </c>
      <c r="K510" s="18" t="s">
        <v>54</v>
      </c>
      <c r="L510" s="18" t="s">
        <v>18</v>
      </c>
      <c r="M510" s="19" t="s">
        <v>409</v>
      </c>
      <c r="N510" s="19" t="str">
        <f t="shared" si="77"/>
        <v>Pagar Darurat</v>
      </c>
      <c r="O510" t="b">
        <f>M510=W510</f>
        <v>0</v>
      </c>
      <c r="Q510" s="12" t="s">
        <v>1116</v>
      </c>
      <c r="R510" s="31"/>
      <c r="S510" s="31"/>
      <c r="T510" s="31"/>
      <c r="U510" s="31"/>
      <c r="V510" s="31"/>
      <c r="W510" s="8"/>
      <c r="X510" t="str">
        <f t="shared" si="78"/>
        <v/>
      </c>
      <c r="Y510" s="8"/>
      <c r="Z510" s="8"/>
    </row>
    <row r="511" spans="1:26" ht="26.25" customHeight="1" x14ac:dyDescent="0.25">
      <c r="A511" t="s">
        <v>1129</v>
      </c>
      <c r="B511" t="str">
        <f t="shared" si="71"/>
        <v>....</v>
      </c>
      <c r="C511" t="str">
        <f t="shared" si="76"/>
        <v>Bertambah</v>
      </c>
      <c r="D511" t="str">
        <f t="shared" si="72"/>
        <v>1.3.3.04.01.04.004</v>
      </c>
      <c r="E511" s="12" t="s">
        <v>1117</v>
      </c>
      <c r="F511" s="17">
        <v>1</v>
      </c>
      <c r="G511" s="17">
        <v>3</v>
      </c>
      <c r="H511" s="17">
        <v>3</v>
      </c>
      <c r="I511" s="18" t="s">
        <v>54</v>
      </c>
      <c r="J511" s="18" t="s">
        <v>10</v>
      </c>
      <c r="K511" s="18" t="s">
        <v>54</v>
      </c>
      <c r="L511" s="18" t="s">
        <v>20</v>
      </c>
      <c r="M511" s="19" t="s">
        <v>23</v>
      </c>
      <c r="N511" s="19" t="str">
        <f t="shared" si="77"/>
        <v>Dst….</v>
      </c>
      <c r="O511" t="b">
        <f>M511=W511</f>
        <v>0</v>
      </c>
      <c r="Q511" s="12" t="s">
        <v>1117</v>
      </c>
      <c r="R511" s="31"/>
      <c r="S511" s="31"/>
      <c r="T511" s="31"/>
      <c r="U511" s="31"/>
      <c r="V511" s="31"/>
      <c r="W511" s="8"/>
      <c r="X511" t="str">
        <f t="shared" si="78"/>
        <v/>
      </c>
      <c r="Y511" s="8"/>
      <c r="Z511" s="8"/>
    </row>
    <row r="512" spans="1:26" ht="26.25" customHeight="1" x14ac:dyDescent="0.25">
      <c r="A512" t="s">
        <v>1129</v>
      </c>
      <c r="B512" t="str">
        <f t="shared" si="71"/>
        <v>....</v>
      </c>
      <c r="C512" t="str">
        <f t="shared" si="76"/>
        <v>Bertambah</v>
      </c>
      <c r="D512" t="str">
        <f t="shared" si="72"/>
        <v>1.3.3.04.01.05.</v>
      </c>
      <c r="E512" s="12" t="s">
        <v>1118</v>
      </c>
      <c r="F512" s="17">
        <v>1</v>
      </c>
      <c r="G512" s="17">
        <v>3</v>
      </c>
      <c r="H512" s="17">
        <v>3</v>
      </c>
      <c r="I512" s="18" t="s">
        <v>54</v>
      </c>
      <c r="J512" s="18" t="s">
        <v>10</v>
      </c>
      <c r="K512" s="18" t="s">
        <v>61</v>
      </c>
      <c r="L512" s="18"/>
      <c r="M512" s="19" t="s">
        <v>410</v>
      </c>
      <c r="N512" s="19" t="str">
        <f t="shared" si="77"/>
        <v>TUGU/TANDA BATAS LAINNYA</v>
      </c>
      <c r="O512" t="b">
        <f>M512=W512</f>
        <v>0</v>
      </c>
      <c r="Q512" s="12" t="s">
        <v>1118</v>
      </c>
      <c r="R512" s="32"/>
      <c r="S512" s="32"/>
      <c r="T512" s="32"/>
      <c r="U512" s="32"/>
      <c r="V512" s="32"/>
      <c r="X512" t="str">
        <f t="shared" si="78"/>
        <v/>
      </c>
    </row>
    <row r="513" spans="1:24" ht="26.25" customHeight="1" x14ac:dyDescent="0.25">
      <c r="A513" t="s">
        <v>1129</v>
      </c>
      <c r="B513" t="str">
        <f t="shared" si="71"/>
        <v>....</v>
      </c>
      <c r="C513" t="str">
        <f t="shared" si="76"/>
        <v>Bertambah</v>
      </c>
      <c r="D513" t="str">
        <f t="shared" si="72"/>
        <v>1.3.3.04.01.05.001</v>
      </c>
      <c r="E513" s="12" t="s">
        <v>1119</v>
      </c>
      <c r="F513" s="17">
        <v>1</v>
      </c>
      <c r="G513" s="17">
        <v>3</v>
      </c>
      <c r="H513" s="17">
        <v>3</v>
      </c>
      <c r="I513" s="18" t="s">
        <v>54</v>
      </c>
      <c r="J513" s="18" t="s">
        <v>10</v>
      </c>
      <c r="K513" s="18" t="s">
        <v>61</v>
      </c>
      <c r="L513" s="18" t="s">
        <v>14</v>
      </c>
      <c r="M513" s="19" t="s">
        <v>23</v>
      </c>
      <c r="N513" s="19" t="str">
        <f t="shared" si="77"/>
        <v>Dst….</v>
      </c>
      <c r="O513" t="b">
        <f>M513=W513</f>
        <v>0</v>
      </c>
      <c r="Q513" s="12" t="s">
        <v>1119</v>
      </c>
      <c r="R513" s="32"/>
      <c r="S513" s="32"/>
      <c r="T513" s="32"/>
      <c r="U513" s="32"/>
      <c r="V513" s="32"/>
      <c r="X513" t="str">
        <f t="shared" si="78"/>
        <v/>
      </c>
    </row>
  </sheetData>
  <mergeCells count="2">
    <mergeCell ref="F2:M3"/>
    <mergeCell ref="R1:Z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 10</cp:lastModifiedBy>
  <dcterms:created xsi:type="dcterms:W3CDTF">2019-07-19T03:18:03Z</dcterms:created>
  <dcterms:modified xsi:type="dcterms:W3CDTF">2019-07-31T09:48:16Z</dcterms:modified>
</cp:coreProperties>
</file>